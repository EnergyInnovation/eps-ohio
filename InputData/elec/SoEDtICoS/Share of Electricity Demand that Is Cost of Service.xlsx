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OH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1611</v>
      </c>
      <c r="C4" t="inlineStr">
        <is>
          <t>Messer Energy Services, Inc.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OH</t>
        </is>
      </c>
      <c r="H4" t="inlineStr">
        <is>
          <t>Retail Power Marketer</t>
        </is>
      </c>
      <c r="I4" t="inlineStr">
        <is>
          <t>PJM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10414</v>
      </c>
      <c r="Q4" t="n">
        <v>240404</v>
      </c>
      <c r="R4" t="n">
        <v>5</v>
      </c>
      <c r="S4" t="n">
        <v>0</v>
      </c>
      <c r="T4" t="n">
        <v>0</v>
      </c>
      <c r="U4" t="n">
        <v>0</v>
      </c>
      <c r="V4" t="n">
        <v>10414</v>
      </c>
      <c r="W4" t="n">
        <v>240404</v>
      </c>
      <c r="X4" t="n">
        <v>5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2054</v>
      </c>
      <c r="C5" t="inlineStr">
        <is>
          <t>City of Bowling Green - (OH)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OH</t>
        </is>
      </c>
      <c r="H5" t="inlineStr">
        <is>
          <t>Municipal</t>
        </is>
      </c>
      <c r="I5" t="inlineStr">
        <is>
          <t>PJM</t>
        </is>
      </c>
      <c r="J5" t="n">
        <v>15168</v>
      </c>
      <c r="K5" t="n">
        <v>98734</v>
      </c>
      <c r="L5" t="n">
        <v>13068</v>
      </c>
      <c r="M5" t="n">
        <v>8743</v>
      </c>
      <c r="N5" t="n">
        <v>59356</v>
      </c>
      <c r="O5" t="n">
        <v>1703</v>
      </c>
      <c r="P5" t="n">
        <v>38396</v>
      </c>
      <c r="Q5" t="n">
        <v>360103</v>
      </c>
      <c r="R5" t="n">
        <v>79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62307</v>
      </c>
      <c r="W5" t="n">
        <v>518193</v>
      </c>
      <c r="X5" t="n">
        <v>14850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2502</v>
      </c>
      <c r="C6" t="inlineStr">
        <is>
          <t>Buckeye Rural Elec Coop,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OH</t>
        </is>
      </c>
      <c r="H6" t="inlineStr">
        <is>
          <t>Cooperative</t>
        </is>
      </c>
      <c r="I6" t="inlineStr">
        <is>
          <t>PJM</t>
        </is>
      </c>
      <c r="J6" t="n">
        <v>40808.7</v>
      </c>
      <c r="K6" t="n">
        <v>205052</v>
      </c>
      <c r="L6" t="n">
        <v>16349</v>
      </c>
      <c r="M6" t="n">
        <v>4352.6</v>
      </c>
      <c r="N6" t="n">
        <v>18933</v>
      </c>
      <c r="O6" t="n">
        <v>2265</v>
      </c>
      <c r="P6" t="n">
        <v>1548.3</v>
      </c>
      <c r="Q6" t="n">
        <v>9523</v>
      </c>
      <c r="R6" t="n">
        <v>88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46709.6</v>
      </c>
      <c r="W6" t="n">
        <v>233508</v>
      </c>
      <c r="X6" t="n">
        <v>18702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2651</v>
      </c>
      <c r="C7" t="inlineStr">
        <is>
          <t>Butler Rural Electric Coop Inc - (OH)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OH</t>
        </is>
      </c>
      <c r="H7" t="inlineStr">
        <is>
          <t>Cooperative</t>
        </is>
      </c>
      <c r="I7" t="inlineStr">
        <is>
          <t>PJM</t>
        </is>
      </c>
      <c r="J7" t="n">
        <v>32898</v>
      </c>
      <c r="K7" t="n">
        <v>181115</v>
      </c>
      <c r="L7" t="n">
        <v>11374</v>
      </c>
      <c r="M7" t="n">
        <v>2524</v>
      </c>
      <c r="N7" t="n">
        <v>15520</v>
      </c>
      <c r="O7" t="n">
        <v>463</v>
      </c>
      <c r="P7" t="n">
        <v>1712</v>
      </c>
      <c r="Q7" t="n">
        <v>13828</v>
      </c>
      <c r="R7" t="n">
        <v>8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37134</v>
      </c>
      <c r="W7" t="n">
        <v>210463</v>
      </c>
      <c r="X7" t="n">
        <v>11845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3216</v>
      </c>
      <c r="C8" t="inlineStr">
        <is>
          <t>City of Celina - (OH)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OH</t>
        </is>
      </c>
      <c r="H8" t="inlineStr">
        <is>
          <t>Municipal</t>
        </is>
      </c>
      <c r="I8" t="inlineStr">
        <is>
          <t>PJM</t>
        </is>
      </c>
      <c r="J8" t="n">
        <v>9047</v>
      </c>
      <c r="K8" t="n">
        <v>99237</v>
      </c>
      <c r="L8" t="n">
        <v>7557</v>
      </c>
      <c r="M8" t="n">
        <v>8288</v>
      </c>
      <c r="N8" t="n">
        <v>72386</v>
      </c>
      <c r="O8" t="n">
        <v>897</v>
      </c>
      <c r="P8" t="n">
        <v>6163</v>
      </c>
      <c r="Q8" t="n">
        <v>84539</v>
      </c>
      <c r="R8" t="n">
        <v>14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23498</v>
      </c>
      <c r="W8" t="n">
        <v>256162</v>
      </c>
      <c r="X8" t="n">
        <v>8468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3542</v>
      </c>
      <c r="C9" t="inlineStr">
        <is>
          <t>Duke Energy Ohio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OH</t>
        </is>
      </c>
      <c r="H9" t="inlineStr">
        <is>
          <t>Investor Owned</t>
        </is>
      </c>
      <c r="I9" t="inlineStr">
        <is>
          <t>PJM</t>
        </is>
      </c>
      <c r="J9" t="n">
        <v>470342.6</v>
      </c>
      <c r="K9" t="n">
        <v>3135248</v>
      </c>
      <c r="L9" t="n">
        <v>294084</v>
      </c>
      <c r="M9" t="n">
        <v>132804.6</v>
      </c>
      <c r="N9" t="n">
        <v>1141458</v>
      </c>
      <c r="O9" t="n">
        <v>22054</v>
      </c>
      <c r="P9" t="n">
        <v>7386.8</v>
      </c>
      <c r="Q9" t="n">
        <v>84589</v>
      </c>
      <c r="R9" t="n">
        <v>366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610534</v>
      </c>
      <c r="W9" t="n">
        <v>4361295</v>
      </c>
      <c r="X9" t="n">
        <v>316504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3542</v>
      </c>
      <c r="C10" t="inlineStr">
        <is>
          <t>Duke Energy Ohio Inc</t>
        </is>
      </c>
      <c r="D10" t="inlineStr">
        <is>
          <t>C</t>
        </is>
      </c>
      <c r="E10" t="inlineStr">
        <is>
          <t>Delivery</t>
        </is>
      </c>
      <c r="F10" t="inlineStr">
        <is>
          <t>O</t>
        </is>
      </c>
      <c r="G10" t="inlineStr">
        <is>
          <t>OH</t>
        </is>
      </c>
      <c r="H10" t="inlineStr">
        <is>
          <t>Investor Owned</t>
        </is>
      </c>
      <c r="I10" t="inlineStr">
        <is>
          <t>PJM</t>
        </is>
      </c>
      <c r="J10" t="n">
        <v>338070.9</v>
      </c>
      <c r="K10" t="n">
        <v>4331031</v>
      </c>
      <c r="L10" t="n">
        <v>399351</v>
      </c>
      <c r="M10" t="n">
        <v>258299.9</v>
      </c>
      <c r="N10" t="n">
        <v>6461984</v>
      </c>
      <c r="O10" t="n">
        <v>42396</v>
      </c>
      <c r="P10" t="n">
        <v>73333</v>
      </c>
      <c r="Q10" t="n">
        <v>4419380</v>
      </c>
      <c r="R10" t="n">
        <v>1549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669703.8</v>
      </c>
      <c r="W10" t="n">
        <v>15212395</v>
      </c>
      <c r="X10" t="n">
        <v>443296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3755</v>
      </c>
      <c r="C11" t="inlineStr">
        <is>
          <t>Cleveland Electric Illum Co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OH</t>
        </is>
      </c>
      <c r="H11" t="inlineStr">
        <is>
          <t>Investor Owned</t>
        </is>
      </c>
      <c r="I11" t="inlineStr">
        <is>
          <t>PJM</t>
        </is>
      </c>
      <c r="J11" t="n">
        <v>162787.4</v>
      </c>
      <c r="K11" t="n">
        <v>971325</v>
      </c>
      <c r="L11" t="n">
        <v>131370</v>
      </c>
      <c r="M11" t="n">
        <v>63996.4</v>
      </c>
      <c r="N11" t="n">
        <v>344160</v>
      </c>
      <c r="O11" t="n">
        <v>11225</v>
      </c>
      <c r="P11" t="n">
        <v>12909.6</v>
      </c>
      <c r="Q11" t="n">
        <v>93908</v>
      </c>
      <c r="R11" t="n">
        <v>62</v>
      </c>
      <c r="S11" t="n">
        <v>0</v>
      </c>
      <c r="T11" t="n">
        <v>0</v>
      </c>
      <c r="U11" t="n">
        <v>0</v>
      </c>
      <c r="V11" t="n">
        <v>239693.4</v>
      </c>
      <c r="W11" t="n">
        <v>1409393</v>
      </c>
      <c r="X11" t="n">
        <v>142657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3755</v>
      </c>
      <c r="C12" t="inlineStr">
        <is>
          <t>Cleveland Electric Illum Co</t>
        </is>
      </c>
      <c r="D12" t="inlineStr">
        <is>
          <t>C</t>
        </is>
      </c>
      <c r="E12" t="inlineStr">
        <is>
          <t>Delivery</t>
        </is>
      </c>
      <c r="F12" t="inlineStr">
        <is>
          <t>O</t>
        </is>
      </c>
      <c r="G12" t="inlineStr">
        <is>
          <t>OH</t>
        </is>
      </c>
      <c r="H12" t="inlineStr">
        <is>
          <t>Investor Owned</t>
        </is>
      </c>
      <c r="I12" t="inlineStr">
        <is>
          <t>PJM</t>
        </is>
      </c>
      <c r="J12" t="n">
        <v>349200.5</v>
      </c>
      <c r="K12" t="n">
        <v>4471242</v>
      </c>
      <c r="L12" t="n">
        <v>544728</v>
      </c>
      <c r="M12" t="n">
        <v>365022.3</v>
      </c>
      <c r="N12" t="n">
        <v>5484804</v>
      </c>
      <c r="O12" t="n">
        <v>70476</v>
      </c>
      <c r="P12" t="n">
        <v>91841.3</v>
      </c>
      <c r="Q12" t="n">
        <v>5734908</v>
      </c>
      <c r="R12" t="n">
        <v>593</v>
      </c>
      <c r="S12" t="n">
        <v>714.6</v>
      </c>
      <c r="T12" t="n">
        <v>28573</v>
      </c>
      <c r="U12" t="n">
        <v>1</v>
      </c>
      <c r="V12" t="n">
        <v>806778.7</v>
      </c>
      <c r="W12" t="n">
        <v>15719527</v>
      </c>
      <c r="X12" t="n">
        <v>615798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3762</v>
      </c>
      <c r="C13" t="inlineStr">
        <is>
          <t>City of Cleveland - (OH)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OH</t>
        </is>
      </c>
      <c r="H13" t="inlineStr">
        <is>
          <t>Municipal</t>
        </is>
      </c>
      <c r="I13" t="inlineStr">
        <is>
          <t>PJM</t>
        </is>
      </c>
      <c r="J13" t="n">
        <v>57086.1</v>
      </c>
      <c r="K13" t="n">
        <v>383954</v>
      </c>
      <c r="L13" t="n">
        <v>64914</v>
      </c>
      <c r="M13" t="n">
        <v>85754.89999999999</v>
      </c>
      <c r="N13" t="n">
        <v>618173</v>
      </c>
      <c r="O13" t="n">
        <v>8729</v>
      </c>
      <c r="P13" t="n">
        <v>50582.1</v>
      </c>
      <c r="Q13" t="n">
        <v>543410</v>
      </c>
      <c r="R13" t="n">
        <v>23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193423.1</v>
      </c>
      <c r="W13" t="n">
        <v>1545537</v>
      </c>
      <c r="X13" t="n">
        <v>73666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3824</v>
      </c>
      <c r="C14" t="inlineStr">
        <is>
          <t>Clyde Light &amp; Power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OH</t>
        </is>
      </c>
      <c r="H14" t="inlineStr">
        <is>
          <t>Municipal</t>
        </is>
      </c>
      <c r="I14" t="inlineStr">
        <is>
          <t>PJM</t>
        </is>
      </c>
      <c r="J14" t="n">
        <v>2998</v>
      </c>
      <c r="K14" t="n">
        <v>24773</v>
      </c>
      <c r="L14" t="n">
        <v>2776</v>
      </c>
      <c r="M14" t="n">
        <v>2562</v>
      </c>
      <c r="N14" t="n">
        <v>18287</v>
      </c>
      <c r="O14" t="n">
        <v>346</v>
      </c>
      <c r="P14" t="n">
        <v>12389</v>
      </c>
      <c r="Q14" t="n">
        <v>161398</v>
      </c>
      <c r="R14" t="n">
        <v>10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17949</v>
      </c>
      <c r="W14" t="n">
        <v>204458</v>
      </c>
      <c r="X14" t="n">
        <v>3132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4065</v>
      </c>
      <c r="C15" t="inlineStr">
        <is>
          <t>City of Columbus - (OH)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OH</t>
        </is>
      </c>
      <c r="H15" t="inlineStr">
        <is>
          <t>Municipal</t>
        </is>
      </c>
      <c r="I15" t="inlineStr">
        <is>
          <t>PJM</t>
        </is>
      </c>
      <c r="J15" t="n">
        <v>11609</v>
      </c>
      <c r="K15" t="n">
        <v>102518</v>
      </c>
      <c r="L15" t="n">
        <v>15510</v>
      </c>
      <c r="M15" t="n">
        <v>15633.4</v>
      </c>
      <c r="N15" t="n">
        <v>112999</v>
      </c>
      <c r="O15" t="n">
        <v>3530</v>
      </c>
      <c r="P15" t="n">
        <v>65913</v>
      </c>
      <c r="Q15" t="n">
        <v>641354</v>
      </c>
      <c r="R15" t="n">
        <v>481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93155.39999999999</v>
      </c>
      <c r="W15" t="n">
        <v>856871</v>
      </c>
      <c r="X15" t="n">
        <v>19521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4100</v>
      </c>
      <c r="C16" t="inlineStr">
        <is>
          <t>Just Energy Solutions Inc.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OH</t>
        </is>
      </c>
      <c r="H16" t="inlineStr">
        <is>
          <t>Retail Power Marketer</t>
        </is>
      </c>
      <c r="I16" t="inlineStr">
        <is>
          <t>PJM</t>
        </is>
      </c>
      <c r="J16" t="n">
        <v>37447.1</v>
      </c>
      <c r="K16" t="n">
        <v>394753</v>
      </c>
      <c r="L16" t="n">
        <v>35612</v>
      </c>
      <c r="M16" t="n">
        <v>23.4</v>
      </c>
      <c r="N16" t="n">
        <v>266</v>
      </c>
      <c r="O16" t="n">
        <v>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37470.5</v>
      </c>
      <c r="W16" t="n">
        <v>395019</v>
      </c>
      <c r="X16" t="n">
        <v>35639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4683</v>
      </c>
      <c r="C17" t="inlineStr">
        <is>
          <t>City of Cuyahoga Falls - (OH)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OH</t>
        </is>
      </c>
      <c r="H17" t="inlineStr">
        <is>
          <t>Municipal</t>
        </is>
      </c>
      <c r="I17" t="inlineStr">
        <is>
          <t>PJM</t>
        </is>
      </c>
      <c r="J17" t="n">
        <v>23284</v>
      </c>
      <c r="K17" t="n">
        <v>178861</v>
      </c>
      <c r="L17" t="n">
        <v>24349</v>
      </c>
      <c r="M17" t="n">
        <v>7324</v>
      </c>
      <c r="N17" t="n">
        <v>55945</v>
      </c>
      <c r="O17" t="n">
        <v>2235</v>
      </c>
      <c r="P17" t="n">
        <v>17897</v>
      </c>
      <c r="Q17" t="n">
        <v>156914</v>
      </c>
      <c r="R17" t="n">
        <v>199</v>
      </c>
      <c r="S17" t="n">
        <v>0</v>
      </c>
      <c r="T17" t="n">
        <v>0</v>
      </c>
      <c r="U17" t="n">
        <v>0</v>
      </c>
      <c r="V17" t="n">
        <v>48505</v>
      </c>
      <c r="W17" t="n">
        <v>391720</v>
      </c>
      <c r="X17" t="n">
        <v>26783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4922</v>
      </c>
      <c r="C18" t="inlineStr">
        <is>
          <t>Dayton Power &amp; Light Co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OH</t>
        </is>
      </c>
      <c r="H18" t="inlineStr">
        <is>
          <t>Investor Owned</t>
        </is>
      </c>
      <c r="I18" t="inlineStr">
        <is>
          <t>PJM</t>
        </is>
      </c>
      <c r="J18" t="n">
        <v>223026</v>
      </c>
      <c r="K18" t="n">
        <v>1455682</v>
      </c>
      <c r="L18" t="n">
        <v>132522</v>
      </c>
      <c r="M18" t="n">
        <v>53784</v>
      </c>
      <c r="N18" t="n">
        <v>387706</v>
      </c>
      <c r="O18" t="n">
        <v>11039</v>
      </c>
      <c r="P18" t="n">
        <v>12683</v>
      </c>
      <c r="Q18" t="n">
        <v>94916</v>
      </c>
      <c r="R18" t="n">
        <v>184</v>
      </c>
      <c r="S18" t="n">
        <v>0</v>
      </c>
      <c r="T18" t="n">
        <v>0</v>
      </c>
      <c r="U18" t="n">
        <v>0</v>
      </c>
      <c r="V18" t="n">
        <v>289493</v>
      </c>
      <c r="W18" t="n">
        <v>1938304</v>
      </c>
      <c r="X18" t="n">
        <v>143745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4922</v>
      </c>
      <c r="C19" t="inlineStr">
        <is>
          <t>Dayton Power &amp; Light Co</t>
        </is>
      </c>
      <c r="D19" t="inlineStr">
        <is>
          <t>C</t>
        </is>
      </c>
      <c r="E19" t="inlineStr">
        <is>
          <t>Delivery</t>
        </is>
      </c>
      <c r="F19" t="inlineStr">
        <is>
          <t>O</t>
        </is>
      </c>
      <c r="G19" t="inlineStr">
        <is>
          <t>OH</t>
        </is>
      </c>
      <c r="H19" t="inlineStr">
        <is>
          <t>Investor Owned</t>
        </is>
      </c>
      <c r="I19" t="inlineStr">
        <is>
          <t>PJM</t>
        </is>
      </c>
      <c r="J19" t="n">
        <v>229159</v>
      </c>
      <c r="K19" t="n">
        <v>3836441</v>
      </c>
      <c r="L19" t="n">
        <v>346219</v>
      </c>
      <c r="M19" t="n">
        <v>135240</v>
      </c>
      <c r="N19" t="n">
        <v>4517943</v>
      </c>
      <c r="O19" t="n">
        <v>49375</v>
      </c>
      <c r="P19" t="n">
        <v>54549</v>
      </c>
      <c r="Q19" t="n">
        <v>3521813</v>
      </c>
      <c r="R19" t="n">
        <v>1496</v>
      </c>
      <c r="S19" t="n">
        <v>70</v>
      </c>
      <c r="T19" t="n">
        <v>3073</v>
      </c>
      <c r="U19" t="n">
        <v>1</v>
      </c>
      <c r="V19" t="n">
        <v>419018</v>
      </c>
      <c r="W19" t="n">
        <v>11879270</v>
      </c>
      <c r="X19" t="n">
        <v>397091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5336</v>
      </c>
      <c r="C20" t="inlineStr">
        <is>
          <t>City of Dover - (OH)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OH</t>
        </is>
      </c>
      <c r="H20" t="inlineStr">
        <is>
          <t>Municipal</t>
        </is>
      </c>
      <c r="I20" t="inlineStr">
        <is>
          <t>PJM</t>
        </is>
      </c>
      <c r="J20" t="n">
        <v>8214</v>
      </c>
      <c r="K20" t="n">
        <v>54650</v>
      </c>
      <c r="L20" t="n">
        <v>5869</v>
      </c>
      <c r="M20" t="n">
        <v>4326</v>
      </c>
      <c r="N20" t="n">
        <v>29249</v>
      </c>
      <c r="O20" t="n">
        <v>920</v>
      </c>
      <c r="P20" t="n">
        <v>12732</v>
      </c>
      <c r="Q20" t="n">
        <v>106700</v>
      </c>
      <c r="R20" t="n">
        <v>104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25272</v>
      </c>
      <c r="W20" t="n">
        <v>190599</v>
      </c>
      <c r="X20" t="n">
        <v>6893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6458</v>
      </c>
      <c r="C21" t="inlineStr">
        <is>
          <t>Energy Harbor Corp.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OH</t>
        </is>
      </c>
      <c r="H21" t="inlineStr">
        <is>
          <t>Retail Power Marketer</t>
        </is>
      </c>
      <c r="I21" t="inlineStr">
        <is>
          <t>PJM</t>
        </is>
      </c>
      <c r="J21" t="n">
        <v>594564.7</v>
      </c>
      <c r="K21" t="n">
        <v>9680052</v>
      </c>
      <c r="L21" t="n">
        <v>902100</v>
      </c>
      <c r="M21" t="n">
        <v>337756.7</v>
      </c>
      <c r="N21" t="n">
        <v>6716296</v>
      </c>
      <c r="O21" t="n">
        <v>87926</v>
      </c>
      <c r="P21" t="n">
        <v>145863.2</v>
      </c>
      <c r="Q21" t="n">
        <v>3193301</v>
      </c>
      <c r="R21" t="n">
        <v>314</v>
      </c>
      <c r="S21" t="n">
        <v>0</v>
      </c>
      <c r="T21" t="n">
        <v>0</v>
      </c>
      <c r="U21" t="n">
        <v>0</v>
      </c>
      <c r="V21" t="n">
        <v>1078184.6</v>
      </c>
      <c r="W21" t="n">
        <v>19589649</v>
      </c>
      <c r="X21" t="n">
        <v>990340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7279</v>
      </c>
      <c r="C22" t="inlineStr">
        <is>
          <t>NextEra Energy Services, LLC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OH</t>
        </is>
      </c>
      <c r="H22" t="inlineStr">
        <is>
          <t>Retail Power Marketer</t>
        </is>
      </c>
      <c r="I22" t="inlineStr">
        <is>
          <t>PJM</t>
        </is>
      </c>
      <c r="J22" t="n">
        <v>128983.7</v>
      </c>
      <c r="K22" t="n">
        <v>1977410</v>
      </c>
      <c r="L22" t="n">
        <v>437348</v>
      </c>
      <c r="M22" t="n">
        <v>38118.4</v>
      </c>
      <c r="N22" t="n">
        <v>608914</v>
      </c>
      <c r="O22" t="n">
        <v>18951</v>
      </c>
      <c r="P22" t="inlineStr">
        <is>
          <t>.</t>
        </is>
      </c>
      <c r="Q22" t="inlineStr">
        <is>
          <t>.</t>
        </is>
      </c>
      <c r="R22" t="inlineStr">
        <is>
          <t>.</t>
        </is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167102.1</v>
      </c>
      <c r="W22" t="n">
        <v>2586324</v>
      </c>
      <c r="X22" t="n">
        <v>456299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7891</v>
      </c>
      <c r="C23" t="inlineStr">
        <is>
          <t>Guernsey-Muskingum El Coop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OH</t>
        </is>
      </c>
      <c r="H23" t="inlineStr">
        <is>
          <t>Cooperative</t>
        </is>
      </c>
      <c r="I23" t="inlineStr">
        <is>
          <t>PJM</t>
        </is>
      </c>
      <c r="J23" t="n">
        <v>30348</v>
      </c>
      <c r="K23" t="n">
        <v>168625</v>
      </c>
      <c r="L23" t="n">
        <v>15289</v>
      </c>
      <c r="M23" t="n">
        <v>7625.2</v>
      </c>
      <c r="N23" t="n">
        <v>46748</v>
      </c>
      <c r="O23" t="n">
        <v>1879</v>
      </c>
      <c r="P23" t="n">
        <v>4373.4</v>
      </c>
      <c r="Q23" t="n">
        <v>30900</v>
      </c>
      <c r="R23" t="n">
        <v>10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42346.6</v>
      </c>
      <c r="W23" t="n">
        <v>246273</v>
      </c>
      <c r="X23" t="n">
        <v>17178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7977</v>
      </c>
      <c r="C24" t="inlineStr">
        <is>
          <t>City of Hamilton - (OH)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OH</t>
        </is>
      </c>
      <c r="H24" t="inlineStr">
        <is>
          <t>Municipal</t>
        </is>
      </c>
      <c r="I24" t="inlineStr">
        <is>
          <t>PJM</t>
        </is>
      </c>
      <c r="J24" t="n">
        <v>38789</v>
      </c>
      <c r="K24" t="n">
        <v>251261</v>
      </c>
      <c r="L24" t="n">
        <v>26964</v>
      </c>
      <c r="M24" t="n">
        <v>33763</v>
      </c>
      <c r="N24" t="n">
        <v>358215</v>
      </c>
      <c r="O24" t="n">
        <v>2852</v>
      </c>
      <c r="P24" t="n">
        <v>8911</v>
      </c>
      <c r="Q24" t="n">
        <v>78842</v>
      </c>
      <c r="R24" t="n">
        <v>75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81463</v>
      </c>
      <c r="W24" t="n">
        <v>688318</v>
      </c>
      <c r="X24" t="n">
        <v>29891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8034</v>
      </c>
      <c r="C25" t="inlineStr">
        <is>
          <t>Hancock-Wood Electric Coop Inc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OH</t>
        </is>
      </c>
      <c r="H25" t="inlineStr">
        <is>
          <t>Cooperative</t>
        </is>
      </c>
      <c r="I25" t="inlineStr">
        <is>
          <t>PJM</t>
        </is>
      </c>
      <c r="J25" t="n">
        <v>25043.7</v>
      </c>
      <c r="K25" t="n">
        <v>146926</v>
      </c>
      <c r="L25" t="n">
        <v>11307</v>
      </c>
      <c r="M25" t="n">
        <v>14797.6</v>
      </c>
      <c r="N25" t="n">
        <v>101735</v>
      </c>
      <c r="O25" t="n">
        <v>2321</v>
      </c>
      <c r="P25" t="n">
        <v>11427.7</v>
      </c>
      <c r="Q25" t="n">
        <v>103817</v>
      </c>
      <c r="R25" t="n">
        <v>12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51269</v>
      </c>
      <c r="W25" t="n">
        <v>352478</v>
      </c>
      <c r="X25" t="n">
        <v>13640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8761</v>
      </c>
      <c r="C26" t="inlineStr">
        <is>
          <t>Holmes-Wayne Electric Coop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OH</t>
        </is>
      </c>
      <c r="H26" t="inlineStr">
        <is>
          <t>Cooperative</t>
        </is>
      </c>
      <c r="I26" t="inlineStr">
        <is>
          <t>PJM</t>
        </is>
      </c>
      <c r="J26" t="n">
        <v>29379.2</v>
      </c>
      <c r="K26" t="n">
        <v>177870</v>
      </c>
      <c r="L26" t="n">
        <v>14714</v>
      </c>
      <c r="M26" t="n">
        <v>14622.2</v>
      </c>
      <c r="N26" t="n">
        <v>101643</v>
      </c>
      <c r="O26" t="n">
        <v>3211</v>
      </c>
      <c r="P26" t="n">
        <v>10125.1</v>
      </c>
      <c r="Q26" t="n">
        <v>89625</v>
      </c>
      <c r="R26" t="n">
        <v>22</v>
      </c>
      <c r="S26" t="n">
        <v>0</v>
      </c>
      <c r="T26" t="n">
        <v>0</v>
      </c>
      <c r="U26" t="n">
        <v>0</v>
      </c>
      <c r="V26" t="n">
        <v>54126.5</v>
      </c>
      <c r="W26" t="n">
        <v>369138</v>
      </c>
      <c r="X26" t="n">
        <v>17947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10668</v>
      </c>
      <c r="C27" t="inlineStr">
        <is>
          <t>Licking Rural Electric Inc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OH</t>
        </is>
      </c>
      <c r="H27" t="inlineStr">
        <is>
          <t>Cooperative</t>
        </is>
      </c>
      <c r="I27" t="inlineStr">
        <is>
          <t>PJM</t>
        </is>
      </c>
      <c r="J27" t="n">
        <v>55072.1</v>
      </c>
      <c r="K27" t="n">
        <v>326266</v>
      </c>
      <c r="L27" t="n">
        <v>25820</v>
      </c>
      <c r="M27" t="n">
        <v>5232.9</v>
      </c>
      <c r="N27" t="n">
        <v>29867</v>
      </c>
      <c r="O27" t="n">
        <v>1663</v>
      </c>
      <c r="P27" t="n">
        <v>9287.4</v>
      </c>
      <c r="Q27" t="n">
        <v>69207</v>
      </c>
      <c r="R27" t="n">
        <v>85</v>
      </c>
      <c r="S27" t="n">
        <v>0</v>
      </c>
      <c r="T27" t="n">
        <v>0</v>
      </c>
      <c r="U27" t="n">
        <v>0</v>
      </c>
      <c r="V27" t="n">
        <v>69592.39999999999</v>
      </c>
      <c r="W27" t="n">
        <v>425340</v>
      </c>
      <c r="X27" t="n">
        <v>27568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10830</v>
      </c>
      <c r="C28" t="inlineStr">
        <is>
          <t>City of Lebanon - (OH)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OH</t>
        </is>
      </c>
      <c r="H28" t="inlineStr">
        <is>
          <t>Municipal</t>
        </is>
      </c>
      <c r="I28" t="inlineStr">
        <is>
          <t>PJM</t>
        </is>
      </c>
      <c r="J28" t="n">
        <v>9704</v>
      </c>
      <c r="K28" t="n">
        <v>87082</v>
      </c>
      <c r="L28" t="n">
        <v>8707</v>
      </c>
      <c r="M28" t="n">
        <v>1554</v>
      </c>
      <c r="N28" t="n">
        <v>16167</v>
      </c>
      <c r="O28" t="n">
        <v>627</v>
      </c>
      <c r="P28" t="n">
        <v>18485</v>
      </c>
      <c r="Q28" t="n">
        <v>234136</v>
      </c>
      <c r="R28" t="n">
        <v>490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29743</v>
      </c>
      <c r="W28" t="n">
        <v>337385</v>
      </c>
      <c r="X28" t="n">
        <v>9824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11200</v>
      </c>
      <c r="C29" t="inlineStr">
        <is>
          <t>Lorain-Medina R E C, Inc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OH</t>
        </is>
      </c>
      <c r="H29" t="inlineStr">
        <is>
          <t>Cooperative</t>
        </is>
      </c>
      <c r="I29" t="inlineStr">
        <is>
          <t>PJM</t>
        </is>
      </c>
      <c r="J29" t="n">
        <v>36685.7</v>
      </c>
      <c r="K29" t="n">
        <v>212521</v>
      </c>
      <c r="L29" t="n">
        <v>15234</v>
      </c>
      <c r="M29" t="n">
        <v>7378.8</v>
      </c>
      <c r="N29" t="n">
        <v>46454</v>
      </c>
      <c r="O29" t="n">
        <v>1594</v>
      </c>
      <c r="P29" t="n">
        <v>3832.3</v>
      </c>
      <c r="Q29" t="n">
        <v>61966</v>
      </c>
      <c r="R29" t="n">
        <v>3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47896.8</v>
      </c>
      <c r="W29" t="n">
        <v>320941</v>
      </c>
      <c r="X29" t="n">
        <v>16831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12377</v>
      </c>
      <c r="C30" t="inlineStr">
        <is>
          <t>Midwest Energy Cooperative - (MI)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OH</t>
        </is>
      </c>
      <c r="H30" t="inlineStr">
        <is>
          <t>Cooperative</t>
        </is>
      </c>
      <c r="I30" t="inlineStr">
        <is>
          <t>PJM</t>
        </is>
      </c>
      <c r="J30" t="n">
        <v>2043.7</v>
      </c>
      <c r="K30" t="n">
        <v>10496</v>
      </c>
      <c r="L30" t="n">
        <v>863</v>
      </c>
      <c r="M30" t="n">
        <v>1001.2</v>
      </c>
      <c r="N30" t="n">
        <v>5713</v>
      </c>
      <c r="O30" t="n">
        <v>198</v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3044.9</v>
      </c>
      <c r="W30" t="n">
        <v>16209</v>
      </c>
      <c r="X30" t="n">
        <v>1061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12515</v>
      </c>
      <c r="C31" t="inlineStr">
        <is>
          <t>Midwest Electric, Inc - (OH)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OH</t>
        </is>
      </c>
      <c r="H31" t="inlineStr">
        <is>
          <t>Cooperative</t>
        </is>
      </c>
      <c r="I31" t="inlineStr">
        <is>
          <t>PJM</t>
        </is>
      </c>
      <c r="J31" t="n">
        <v>26145.3</v>
      </c>
      <c r="K31" t="n">
        <v>171169</v>
      </c>
      <c r="L31" t="n">
        <v>10836</v>
      </c>
      <c r="M31" t="n">
        <v>11373.4</v>
      </c>
      <c r="N31" t="n">
        <v>99538</v>
      </c>
      <c r="O31" t="n">
        <v>353</v>
      </c>
      <c r="P31" t="n">
        <v>2300.8</v>
      </c>
      <c r="Q31" t="n">
        <v>23407</v>
      </c>
      <c r="R31" t="n">
        <v>4</v>
      </c>
      <c r="S31" t="n">
        <v>0</v>
      </c>
      <c r="T31" t="n">
        <v>0</v>
      </c>
      <c r="U31" t="n">
        <v>0</v>
      </c>
      <c r="V31" t="n">
        <v>39819.5</v>
      </c>
      <c r="W31" t="n">
        <v>294114</v>
      </c>
      <c r="X31" t="n">
        <v>11193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12990</v>
      </c>
      <c r="C32" t="inlineStr">
        <is>
          <t>Consolidated Cooperative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OH</t>
        </is>
      </c>
      <c r="H32" t="inlineStr">
        <is>
          <t>Cooperative</t>
        </is>
      </c>
      <c r="I32" t="inlineStr">
        <is>
          <t>PJM</t>
        </is>
      </c>
      <c r="J32" t="n">
        <v>41474</v>
      </c>
      <c r="K32" t="n">
        <v>257472</v>
      </c>
      <c r="L32" t="n">
        <v>16897</v>
      </c>
      <c r="M32" t="n">
        <v>15500</v>
      </c>
      <c r="N32" t="n">
        <v>105064</v>
      </c>
      <c r="O32" t="n">
        <v>2363</v>
      </c>
      <c r="P32" t="n">
        <v>7853</v>
      </c>
      <c r="Q32" t="n">
        <v>67699</v>
      </c>
      <c r="R32" t="n">
        <v>12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64827</v>
      </c>
      <c r="W32" t="n">
        <v>430235</v>
      </c>
      <c r="X32" t="n">
        <v>19272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13374</v>
      </c>
      <c r="C33" t="inlineStr">
        <is>
          <t>Constellation NewEnergy, Inc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OH</t>
        </is>
      </c>
      <c r="H33" t="inlineStr">
        <is>
          <t>Retail Power Marketer</t>
        </is>
      </c>
      <c r="I33" t="inlineStr">
        <is>
          <t>PJM</t>
        </is>
      </c>
      <c r="J33" t="n">
        <v>33987.2</v>
      </c>
      <c r="K33" t="n">
        <v>462359</v>
      </c>
      <c r="L33" t="n">
        <v>45101</v>
      </c>
      <c r="M33" t="n">
        <v>399851</v>
      </c>
      <c r="N33" t="n">
        <v>7986093</v>
      </c>
      <c r="O33" t="n">
        <v>31010</v>
      </c>
      <c r="P33" t="n">
        <v>23365</v>
      </c>
      <c r="Q33" t="n">
        <v>431688</v>
      </c>
      <c r="R33" t="n">
        <v>1308</v>
      </c>
      <c r="S33" t="n">
        <v>0</v>
      </c>
      <c r="T33" t="n">
        <v>0</v>
      </c>
      <c r="U33" t="n">
        <v>0</v>
      </c>
      <c r="V33" t="n">
        <v>457203.2</v>
      </c>
      <c r="W33" t="n">
        <v>8880140</v>
      </c>
      <c r="X33" t="n">
        <v>77419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13602</v>
      </c>
      <c r="C34" t="inlineStr">
        <is>
          <t>City of Niles - (OH)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OH</t>
        </is>
      </c>
      <c r="H34" t="inlineStr">
        <is>
          <t>Municipal</t>
        </is>
      </c>
      <c r="I34" t="inlineStr">
        <is>
          <t>PJM</t>
        </is>
      </c>
      <c r="J34" t="n">
        <v>7347</v>
      </c>
      <c r="K34" t="n">
        <v>78886</v>
      </c>
      <c r="L34" t="n">
        <v>11882</v>
      </c>
      <c r="M34" t="n">
        <v>8035</v>
      </c>
      <c r="N34" t="n">
        <v>95336</v>
      </c>
      <c r="O34" t="n">
        <v>911</v>
      </c>
      <c r="P34" t="n">
        <v>4486</v>
      </c>
      <c r="Q34" t="n">
        <v>62720</v>
      </c>
      <c r="R34" t="n">
        <v>22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19868</v>
      </c>
      <c r="W34" t="n">
        <v>236942</v>
      </c>
      <c r="X34" t="n">
        <v>12815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13693</v>
      </c>
      <c r="C35" t="inlineStr">
        <is>
          <t>North Central Elec Coop, Inc - (OH)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OH</t>
        </is>
      </c>
      <c r="H35" t="inlineStr">
        <is>
          <t>Cooperative</t>
        </is>
      </c>
      <c r="I35" t="inlineStr">
        <is>
          <t>PJM</t>
        </is>
      </c>
      <c r="J35" t="n">
        <v>20479.1</v>
      </c>
      <c r="K35" t="n">
        <v>119796</v>
      </c>
      <c r="L35" t="n">
        <v>8433</v>
      </c>
      <c r="M35" t="n">
        <v>5253.4</v>
      </c>
      <c r="N35" t="n">
        <v>32032</v>
      </c>
      <c r="O35" t="n">
        <v>1270</v>
      </c>
      <c r="P35" t="n">
        <v>7633.9</v>
      </c>
      <c r="Q35" t="n">
        <v>69024</v>
      </c>
      <c r="R35" t="n">
        <v>42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33366.4</v>
      </c>
      <c r="W35" t="n">
        <v>220852</v>
      </c>
      <c r="X35" t="n">
        <v>9745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13998</v>
      </c>
      <c r="C36" t="inlineStr">
        <is>
          <t>Ohio Edison Co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OH</t>
        </is>
      </c>
      <c r="H36" t="inlineStr">
        <is>
          <t>Investor Owned</t>
        </is>
      </c>
      <c r="I36" t="inlineStr">
        <is>
          <t>PJM</t>
        </is>
      </c>
      <c r="J36" t="n">
        <v>383931.4</v>
      </c>
      <c r="K36" t="n">
        <v>2373567</v>
      </c>
      <c r="L36" t="n">
        <v>251751</v>
      </c>
      <c r="M36" t="n">
        <v>91276.5</v>
      </c>
      <c r="N36" t="n">
        <v>531605</v>
      </c>
      <c r="O36" t="n">
        <v>20747</v>
      </c>
      <c r="P36" t="n">
        <v>15437.8</v>
      </c>
      <c r="Q36" t="n">
        <v>116637</v>
      </c>
      <c r="R36" t="n">
        <v>167</v>
      </c>
      <c r="S36" t="n">
        <v>0</v>
      </c>
      <c r="T36" t="n">
        <v>0</v>
      </c>
      <c r="U36" t="n">
        <v>0</v>
      </c>
      <c r="V36" t="n">
        <v>490645.7</v>
      </c>
      <c r="W36" t="n">
        <v>3021809</v>
      </c>
      <c r="X36" t="n">
        <v>272665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13998</v>
      </c>
      <c r="C37" t="inlineStr">
        <is>
          <t>Ohio Edison Co</t>
        </is>
      </c>
      <c r="D37" t="inlineStr">
        <is>
          <t>C</t>
        </is>
      </c>
      <c r="E37" t="inlineStr">
        <is>
          <t>Delivery</t>
        </is>
      </c>
      <c r="F37" t="inlineStr">
        <is>
          <t>O</t>
        </is>
      </c>
      <c r="G37" t="inlineStr">
        <is>
          <t>OH</t>
        </is>
      </c>
      <c r="H37" t="inlineStr">
        <is>
          <t>Investor Owned</t>
        </is>
      </c>
      <c r="I37" t="inlineStr">
        <is>
          <t>PJM</t>
        </is>
      </c>
      <c r="J37" t="n">
        <v>511890.1</v>
      </c>
      <c r="K37" t="n">
        <v>7007869</v>
      </c>
      <c r="L37" t="n">
        <v>706029</v>
      </c>
      <c r="M37" t="n">
        <v>307599.1</v>
      </c>
      <c r="N37" t="n">
        <v>5632589</v>
      </c>
      <c r="O37" t="n">
        <v>94161</v>
      </c>
      <c r="P37" t="n">
        <v>145741.8</v>
      </c>
      <c r="Q37" t="n">
        <v>8773186</v>
      </c>
      <c r="R37" t="n">
        <v>1211</v>
      </c>
      <c r="S37" t="n">
        <v>0</v>
      </c>
      <c r="T37" t="n">
        <v>0</v>
      </c>
      <c r="U37" t="n">
        <v>0</v>
      </c>
      <c r="V37" t="n">
        <v>965231</v>
      </c>
      <c r="W37" t="n">
        <v>21413644</v>
      </c>
      <c r="X37" t="n">
        <v>801401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14006</v>
      </c>
      <c r="C38" t="inlineStr">
        <is>
          <t>Ohio Power Co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OH</t>
        </is>
      </c>
      <c r="H38" t="inlineStr">
        <is>
          <t>Investor Owned</t>
        </is>
      </c>
      <c r="I38" t="inlineStr">
        <is>
          <t>PJM</t>
        </is>
      </c>
      <c r="J38" t="n">
        <v>1147047</v>
      </c>
      <c r="K38" t="n">
        <v>5934288</v>
      </c>
      <c r="L38" t="n">
        <v>550768</v>
      </c>
      <c r="M38" t="n">
        <v>290649</v>
      </c>
      <c r="N38" t="n">
        <v>1760606</v>
      </c>
      <c r="O38" t="n">
        <v>57739</v>
      </c>
      <c r="P38" t="n">
        <v>26027</v>
      </c>
      <c r="Q38" t="n">
        <v>171430</v>
      </c>
      <c r="R38" t="n">
        <v>2577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1463723</v>
      </c>
      <c r="W38" t="n">
        <v>7866324</v>
      </c>
      <c r="X38" t="n">
        <v>611084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14006</v>
      </c>
      <c r="C39" t="inlineStr">
        <is>
          <t>Ohio Power Co</t>
        </is>
      </c>
      <c r="D39" t="inlineStr">
        <is>
          <t>C</t>
        </is>
      </c>
      <c r="E39" t="inlineStr">
        <is>
          <t>Delivery</t>
        </is>
      </c>
      <c r="F39" t="inlineStr">
        <is>
          <t>O</t>
        </is>
      </c>
      <c r="G39" t="inlineStr">
        <is>
          <t>OH</t>
        </is>
      </c>
      <c r="H39" t="inlineStr">
        <is>
          <t>Investor Owned</t>
        </is>
      </c>
      <c r="I39" t="inlineStr">
        <is>
          <t>PJM</t>
        </is>
      </c>
      <c r="J39" t="n">
        <v>880857</v>
      </c>
      <c r="K39" t="n">
        <v>8193512</v>
      </c>
      <c r="L39" t="n">
        <v>788464</v>
      </c>
      <c r="M39" t="n">
        <v>825811</v>
      </c>
      <c r="N39" t="n">
        <v>18659514</v>
      </c>
      <c r="O39" t="n">
        <v>127543</v>
      </c>
      <c r="P39" t="n">
        <v>346715</v>
      </c>
      <c r="Q39" t="n">
        <v>13933557</v>
      </c>
      <c r="R39" t="n">
        <v>6174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2053383</v>
      </c>
      <c r="W39" t="n">
        <v>40786583</v>
      </c>
      <c r="X39" t="n">
        <v>922181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14015</v>
      </c>
      <c r="C40" t="inlineStr">
        <is>
          <t>Ohio Valley Electric Corp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OH</t>
        </is>
      </c>
      <c r="H40" t="inlineStr">
        <is>
          <t>Investor Owned</t>
        </is>
      </c>
      <c r="I40" t="inlineStr">
        <is>
          <t>PJM</t>
        </is>
      </c>
      <c r="J40" t="inlineStr">
        <is>
          <t>.</t>
        </is>
      </c>
      <c r="K40" t="inlineStr">
        <is>
          <t>.</t>
        </is>
      </c>
      <c r="L40" t="inlineStr">
        <is>
          <t>.</t>
        </is>
      </c>
      <c r="M40" t="inlineStr">
        <is>
          <t>.</t>
        </is>
      </c>
      <c r="N40" t="inlineStr">
        <is>
          <t>.</t>
        </is>
      </c>
      <c r="O40" t="inlineStr">
        <is>
          <t>.</t>
        </is>
      </c>
      <c r="P40" t="n">
        <v>4132</v>
      </c>
      <c r="Q40" t="n">
        <v>104845</v>
      </c>
      <c r="R40" t="n">
        <v>1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4132</v>
      </c>
      <c r="W40" t="n">
        <v>104845</v>
      </c>
      <c r="X40" t="n">
        <v>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14194</v>
      </c>
      <c r="C41" t="inlineStr">
        <is>
          <t>City of Orrville - (OH)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OH</t>
        </is>
      </c>
      <c r="H41" t="inlineStr">
        <is>
          <t>Municipal</t>
        </is>
      </c>
      <c r="I41" t="inlineStr">
        <is>
          <t>PJM</t>
        </is>
      </c>
      <c r="J41" t="n">
        <v>8159</v>
      </c>
      <c r="K41" t="n">
        <v>74411</v>
      </c>
      <c r="L41" t="n">
        <v>6314</v>
      </c>
      <c r="M41" t="n">
        <v>7672</v>
      </c>
      <c r="N41" t="n">
        <v>69356</v>
      </c>
      <c r="O41" t="n">
        <v>787</v>
      </c>
      <c r="P41" t="n">
        <v>14590</v>
      </c>
      <c r="Q41" t="n">
        <v>155323</v>
      </c>
      <c r="R41" t="n">
        <v>13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30421</v>
      </c>
      <c r="W41" t="n">
        <v>299090</v>
      </c>
      <c r="X41" t="n">
        <v>7114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14381</v>
      </c>
      <c r="C42" t="inlineStr">
        <is>
          <t>City of Painesville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OH</t>
        </is>
      </c>
      <c r="H42" t="inlineStr">
        <is>
          <t>Municipal</t>
        </is>
      </c>
      <c r="I42" t="inlineStr">
        <is>
          <t>PJM</t>
        </is>
      </c>
      <c r="J42" t="n">
        <v>10961</v>
      </c>
      <c r="K42" t="n">
        <v>85971</v>
      </c>
      <c r="L42" t="n">
        <v>10832</v>
      </c>
      <c r="M42" t="n">
        <v>10287</v>
      </c>
      <c r="N42" t="n">
        <v>86102</v>
      </c>
      <c r="O42" t="n">
        <v>1775</v>
      </c>
      <c r="P42" t="n">
        <v>3483</v>
      </c>
      <c r="Q42" t="n">
        <v>46456</v>
      </c>
      <c r="R42" t="n">
        <v>7</v>
      </c>
      <c r="S42" t="n">
        <v>0</v>
      </c>
      <c r="T42" t="n">
        <v>0</v>
      </c>
      <c r="U42" t="n">
        <v>0</v>
      </c>
      <c r="V42" t="n">
        <v>24731</v>
      </c>
      <c r="W42" t="n">
        <v>218529</v>
      </c>
      <c r="X42" t="n">
        <v>12614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14599</v>
      </c>
      <c r="C43" t="inlineStr">
        <is>
          <t>Paulding-Putman Elec Coop, Inc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OH</t>
        </is>
      </c>
      <c r="H43" t="inlineStr">
        <is>
          <t>Cooperative</t>
        </is>
      </c>
      <c r="I43" t="inlineStr">
        <is>
          <t>PJM</t>
        </is>
      </c>
      <c r="J43" t="n">
        <v>21037.1</v>
      </c>
      <c r="K43" t="n">
        <v>119032</v>
      </c>
      <c r="L43" t="n">
        <v>9176</v>
      </c>
      <c r="M43" t="n">
        <v>7771.1</v>
      </c>
      <c r="N43" t="n">
        <v>53212</v>
      </c>
      <c r="O43" t="n">
        <v>494</v>
      </c>
      <c r="P43" t="n">
        <v>6029.1</v>
      </c>
      <c r="Q43" t="n">
        <v>76412</v>
      </c>
      <c r="R43" t="n">
        <v>8</v>
      </c>
      <c r="S43" t="n">
        <v>0</v>
      </c>
      <c r="T43" t="n">
        <v>0</v>
      </c>
      <c r="U43" t="n">
        <v>0</v>
      </c>
      <c r="V43" t="n">
        <v>34837.3</v>
      </c>
      <c r="W43" t="n">
        <v>248656</v>
      </c>
      <c r="X43" t="n">
        <v>9678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15054</v>
      </c>
      <c r="C44" t="inlineStr">
        <is>
          <t>Pioneer Rural Elec Coop, Inc - (OH)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OH</t>
        </is>
      </c>
      <c r="H44" t="inlineStr">
        <is>
          <t>Cooperative</t>
        </is>
      </c>
      <c r="I44" t="inlineStr">
        <is>
          <t>PJM</t>
        </is>
      </c>
      <c r="J44" t="n">
        <v>40654.2</v>
      </c>
      <c r="K44" t="n">
        <v>251232</v>
      </c>
      <c r="L44" t="n">
        <v>16310</v>
      </c>
      <c r="M44" t="n">
        <v>6818.5</v>
      </c>
      <c r="N44" t="n">
        <v>43929</v>
      </c>
      <c r="O44" t="n">
        <v>1080</v>
      </c>
      <c r="P44" t="n">
        <v>33710.9</v>
      </c>
      <c r="Q44" t="n">
        <v>381969</v>
      </c>
      <c r="R44" t="n">
        <v>17</v>
      </c>
      <c r="S44" t="n">
        <v>0</v>
      </c>
      <c r="T44" t="n">
        <v>0</v>
      </c>
      <c r="U44" t="n">
        <v>0</v>
      </c>
      <c r="V44" t="n">
        <v>81183.60000000001</v>
      </c>
      <c r="W44" t="n">
        <v>677130</v>
      </c>
      <c r="X44" t="n">
        <v>17407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15095</v>
      </c>
      <c r="C45" t="inlineStr">
        <is>
          <t>City of Piqua - (OH)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OH</t>
        </is>
      </c>
      <c r="H45" t="inlineStr">
        <is>
          <t>Municipal</t>
        </is>
      </c>
      <c r="I45" t="inlineStr">
        <is>
          <t>PJM</t>
        </is>
      </c>
      <c r="J45" t="n">
        <v>11281.1</v>
      </c>
      <c r="K45" t="n">
        <v>87795</v>
      </c>
      <c r="L45" t="n">
        <v>9829</v>
      </c>
      <c r="M45" t="n">
        <v>9203</v>
      </c>
      <c r="N45" t="n">
        <v>85197</v>
      </c>
      <c r="O45" t="n">
        <v>1098</v>
      </c>
      <c r="P45" t="n">
        <v>10497.8</v>
      </c>
      <c r="Q45" t="n">
        <v>108649</v>
      </c>
      <c r="R45" t="n">
        <v>16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30981.9</v>
      </c>
      <c r="W45" t="n">
        <v>281641</v>
      </c>
      <c r="X45" t="n">
        <v>10943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16840</v>
      </c>
      <c r="C46" t="inlineStr">
        <is>
          <t>Calpine Energy Solutions, LLC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OH</t>
        </is>
      </c>
      <c r="H46" t="inlineStr">
        <is>
          <t>Retail Power Marketer</t>
        </is>
      </c>
      <c r="I46" t="inlineStr">
        <is>
          <t>PJM</t>
        </is>
      </c>
      <c r="J46" t="n">
        <v>0</v>
      </c>
      <c r="K46" t="n">
        <v>0</v>
      </c>
      <c r="L46" t="n">
        <v>0</v>
      </c>
      <c r="M46" t="n">
        <v>180090.3</v>
      </c>
      <c r="N46" t="n">
        <v>4106286</v>
      </c>
      <c r="O46" t="n">
        <v>92</v>
      </c>
      <c r="P46" t="n">
        <v>10801.2</v>
      </c>
      <c r="Q46" t="n">
        <v>274106</v>
      </c>
      <c r="R46" t="n">
        <v>7</v>
      </c>
      <c r="S46" t="n">
        <v>0</v>
      </c>
      <c r="T46" t="n">
        <v>0</v>
      </c>
      <c r="U46" t="n">
        <v>0</v>
      </c>
      <c r="V46" t="n">
        <v>190891.5</v>
      </c>
      <c r="W46" t="n">
        <v>4380392</v>
      </c>
      <c r="X46" t="n">
        <v>99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18085</v>
      </c>
      <c r="C47" t="inlineStr">
        <is>
          <t>South Central Power Company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OH</t>
        </is>
      </c>
      <c r="H47" t="inlineStr">
        <is>
          <t>Cooperative</t>
        </is>
      </c>
      <c r="I47" t="inlineStr">
        <is>
          <t>PJM</t>
        </is>
      </c>
      <c r="J47" t="n">
        <v>225096</v>
      </c>
      <c r="K47" t="n">
        <v>1514090</v>
      </c>
      <c r="L47" t="n">
        <v>117469</v>
      </c>
      <c r="M47" t="n">
        <v>50875.2</v>
      </c>
      <c r="N47" t="n">
        <v>374616</v>
      </c>
      <c r="O47" t="n">
        <v>10093</v>
      </c>
      <c r="P47" t="n">
        <v>85389</v>
      </c>
      <c r="Q47" t="n">
        <v>793864</v>
      </c>
      <c r="R47" t="n">
        <v>289</v>
      </c>
      <c r="S47" t="n">
        <v>0</v>
      </c>
      <c r="T47" t="n">
        <v>0</v>
      </c>
      <c r="U47" t="n">
        <v>0</v>
      </c>
      <c r="V47" t="n">
        <v>361360.2</v>
      </c>
      <c r="W47" t="n">
        <v>2682570</v>
      </c>
      <c r="X47" t="n">
        <v>127851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18193</v>
      </c>
      <c r="C48" t="inlineStr">
        <is>
          <t>Direct Energy Business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OH</t>
        </is>
      </c>
      <c r="H48" t="inlineStr">
        <is>
          <t>Retail Power Marketer</t>
        </is>
      </c>
      <c r="I48" t="inlineStr">
        <is>
          <t>PJM</t>
        </is>
      </c>
      <c r="J48" t="n">
        <v>0</v>
      </c>
      <c r="K48" t="n">
        <v>0</v>
      </c>
      <c r="L48" t="n">
        <v>0</v>
      </c>
      <c r="M48" t="n">
        <v>60270.8</v>
      </c>
      <c r="N48" t="n">
        <v>1098968</v>
      </c>
      <c r="O48" t="n">
        <v>3656</v>
      </c>
      <c r="P48" t="n">
        <v>299039.8</v>
      </c>
      <c r="Q48" t="n">
        <v>6184956</v>
      </c>
      <c r="R48" t="n">
        <v>944</v>
      </c>
      <c r="S48" t="n">
        <v>11.4</v>
      </c>
      <c r="T48" t="n">
        <v>181</v>
      </c>
      <c r="U48" t="n">
        <v>1</v>
      </c>
      <c r="V48" t="n">
        <v>359322</v>
      </c>
      <c r="W48" t="n">
        <v>7284105</v>
      </c>
      <c r="X48" t="n">
        <v>4601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18997</v>
      </c>
      <c r="C49" t="inlineStr">
        <is>
          <t>The Toledo Edison Co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OH</t>
        </is>
      </c>
      <c r="H49" t="inlineStr">
        <is>
          <t>Investor Owned</t>
        </is>
      </c>
      <c r="I49" t="inlineStr">
        <is>
          <t>PJM</t>
        </is>
      </c>
      <c r="J49" t="n">
        <v>116701</v>
      </c>
      <c r="K49" t="n">
        <v>701355</v>
      </c>
      <c r="L49" t="n">
        <v>79007</v>
      </c>
      <c r="M49" t="n">
        <v>25999.7</v>
      </c>
      <c r="N49" t="n">
        <v>139982</v>
      </c>
      <c r="O49" t="n">
        <v>7098</v>
      </c>
      <c r="P49" t="n">
        <v>6190.6</v>
      </c>
      <c r="Q49" t="n">
        <v>46429</v>
      </c>
      <c r="R49" t="n">
        <v>64</v>
      </c>
      <c r="S49" t="n">
        <v>0</v>
      </c>
      <c r="T49" t="n">
        <v>0</v>
      </c>
      <c r="U49" t="n">
        <v>0</v>
      </c>
      <c r="V49" t="n">
        <v>148891.3</v>
      </c>
      <c r="W49" t="n">
        <v>887766</v>
      </c>
      <c r="X49" t="n">
        <v>86169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18997</v>
      </c>
      <c r="C50" t="inlineStr">
        <is>
          <t>The Toledo Edison Co</t>
        </is>
      </c>
      <c r="D50" t="inlineStr">
        <is>
          <t>C</t>
        </is>
      </c>
      <c r="E50" t="inlineStr">
        <is>
          <t>Delivery</t>
        </is>
      </c>
      <c r="F50" t="inlineStr">
        <is>
          <t>O</t>
        </is>
      </c>
      <c r="G50" t="inlineStr">
        <is>
          <t>OH</t>
        </is>
      </c>
      <c r="H50" t="inlineStr">
        <is>
          <t>Investor Owned</t>
        </is>
      </c>
      <c r="I50" t="inlineStr">
        <is>
          <t>PJM</t>
        </is>
      </c>
      <c r="J50" t="n">
        <v>143722.3</v>
      </c>
      <c r="K50" t="n">
        <v>1841408</v>
      </c>
      <c r="L50" t="n">
        <v>199807</v>
      </c>
      <c r="M50" t="n">
        <v>102232.1</v>
      </c>
      <c r="N50" t="n">
        <v>1605557</v>
      </c>
      <c r="O50" t="n">
        <v>29565</v>
      </c>
      <c r="P50" t="n">
        <v>50950.6</v>
      </c>
      <c r="Q50" t="n">
        <v>7078140</v>
      </c>
      <c r="R50" t="n">
        <v>546</v>
      </c>
      <c r="S50" t="n">
        <v>0</v>
      </c>
      <c r="T50" t="n">
        <v>0</v>
      </c>
      <c r="U50" t="n">
        <v>0</v>
      </c>
      <c r="V50" t="n">
        <v>296905</v>
      </c>
      <c r="W50" t="n">
        <v>10525105</v>
      </c>
      <c r="X50" t="n">
        <v>229918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19107</v>
      </c>
      <c r="C51" t="inlineStr">
        <is>
          <t>ENGIE Resources LLC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OH</t>
        </is>
      </c>
      <c r="H51" t="inlineStr">
        <is>
          <t>Retail Power Marketer</t>
        </is>
      </c>
      <c r="I51" t="inlineStr">
        <is>
          <t>PJM</t>
        </is>
      </c>
      <c r="J51" t="n">
        <v>0</v>
      </c>
      <c r="K51" t="n">
        <v>0</v>
      </c>
      <c r="L51" t="n">
        <v>0</v>
      </c>
      <c r="M51" t="n">
        <v>194586.5</v>
      </c>
      <c r="N51" t="n">
        <v>3719158</v>
      </c>
      <c r="O51" t="n">
        <v>2524</v>
      </c>
      <c r="P51" t="n">
        <v>66603.39999999999</v>
      </c>
      <c r="Q51" t="n">
        <v>1273000</v>
      </c>
      <c r="R51" t="n">
        <v>864</v>
      </c>
      <c r="S51" t="n">
        <v>0</v>
      </c>
      <c r="T51" t="n">
        <v>0</v>
      </c>
      <c r="U51" t="n">
        <v>0</v>
      </c>
      <c r="V51" t="n">
        <v>261189.9</v>
      </c>
      <c r="W51" t="n">
        <v>4992158</v>
      </c>
      <c r="X51" t="n">
        <v>3388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19501</v>
      </c>
      <c r="C52" t="inlineStr">
        <is>
          <t>Union Rural Electric Coop, Inc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OH</t>
        </is>
      </c>
      <c r="H52" t="inlineStr">
        <is>
          <t>Cooperative</t>
        </is>
      </c>
      <c r="I52" t="inlineStr">
        <is>
          <t>PJM</t>
        </is>
      </c>
      <c r="J52" t="n">
        <v>25881.6</v>
      </c>
      <c r="K52" t="n">
        <v>165126</v>
      </c>
      <c r="L52" t="n">
        <v>11812</v>
      </c>
      <c r="M52" t="n">
        <v>11177.2</v>
      </c>
      <c r="N52" t="n">
        <v>87120</v>
      </c>
      <c r="O52" t="n">
        <v>455</v>
      </c>
      <c r="P52" t="n">
        <v>25289.8</v>
      </c>
      <c r="Q52" t="n">
        <v>250752</v>
      </c>
      <c r="R52" t="n">
        <v>8</v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62348.6</v>
      </c>
      <c r="W52" t="n">
        <v>502998</v>
      </c>
      <c r="X52" t="n">
        <v>12275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19951</v>
      </c>
      <c r="C53" t="inlineStr">
        <is>
          <t>City of Wadsworth - (OH)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OH</t>
        </is>
      </c>
      <c r="H53" t="inlineStr">
        <is>
          <t>Municipal</t>
        </is>
      </c>
      <c r="I53" t="inlineStr">
        <is>
          <t>PJM</t>
        </is>
      </c>
      <c r="J53" t="n">
        <v>13596</v>
      </c>
      <c r="K53" t="n">
        <v>113414</v>
      </c>
      <c r="L53" t="n">
        <v>12180</v>
      </c>
      <c r="M53" t="n">
        <v>8431</v>
      </c>
      <c r="N53" t="n">
        <v>86195</v>
      </c>
      <c r="O53" t="n">
        <v>1492</v>
      </c>
      <c r="P53" t="n">
        <v>6559</v>
      </c>
      <c r="Q53" t="n">
        <v>74040</v>
      </c>
      <c r="R53" t="n">
        <v>141</v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28586</v>
      </c>
      <c r="W53" t="n">
        <v>273649</v>
      </c>
      <c r="X53" t="n">
        <v>13813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20477</v>
      </c>
      <c r="C54" t="inlineStr">
        <is>
          <t>City of Westerville - (OH)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OH</t>
        </is>
      </c>
      <c r="H54" t="inlineStr">
        <is>
          <t>Municipal</t>
        </is>
      </c>
      <c r="I54" t="inlineStr">
        <is>
          <t>PJM</t>
        </is>
      </c>
      <c r="J54" t="n">
        <v>22950</v>
      </c>
      <c r="K54" t="n">
        <v>173993</v>
      </c>
      <c r="L54" t="n">
        <v>15713</v>
      </c>
      <c r="M54" t="n">
        <v>31186</v>
      </c>
      <c r="N54" t="n">
        <v>260296</v>
      </c>
      <c r="O54" t="n">
        <v>2252</v>
      </c>
      <c r="P54" t="n">
        <v>1507</v>
      </c>
      <c r="Q54" t="n">
        <v>15754</v>
      </c>
      <c r="R54" t="n">
        <v>1</v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55643</v>
      </c>
      <c r="W54" t="n">
        <v>450043</v>
      </c>
      <c r="X54" t="n">
        <v>17966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20659</v>
      </c>
      <c r="C55" t="inlineStr">
        <is>
          <t>WGL Energy Services, Inc.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OH</t>
        </is>
      </c>
      <c r="H55" t="inlineStr">
        <is>
          <t>Retail Power Marketer</t>
        </is>
      </c>
      <c r="I55" t="inlineStr">
        <is>
          <t>PJM</t>
        </is>
      </c>
      <c r="J55" t="n">
        <v>0</v>
      </c>
      <c r="K55" t="n">
        <v>0</v>
      </c>
      <c r="L55" t="n">
        <v>0</v>
      </c>
      <c r="M55" t="n">
        <v>34356</v>
      </c>
      <c r="N55" t="n">
        <v>620450</v>
      </c>
      <c r="O55" t="n">
        <v>2865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34356</v>
      </c>
      <c r="W55" t="n">
        <v>620450</v>
      </c>
      <c r="X55" t="n">
        <v>2865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49730</v>
      </c>
      <c r="C56" t="inlineStr">
        <is>
          <t>American PowerNet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OH</t>
        </is>
      </c>
      <c r="H56" t="inlineStr">
        <is>
          <t>Retail Power Marketer</t>
        </is>
      </c>
      <c r="I56" t="inlineStr">
        <is>
          <t>PJM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12839.1</v>
      </c>
      <c r="Q56" t="n">
        <v>262703</v>
      </c>
      <c r="R56" t="n">
        <v>5</v>
      </c>
      <c r="S56" t="n">
        <v>0</v>
      </c>
      <c r="T56" t="n">
        <v>0</v>
      </c>
      <c r="U56" t="n">
        <v>0</v>
      </c>
      <c r="V56" t="n">
        <v>12839.1</v>
      </c>
      <c r="W56" t="n">
        <v>262703</v>
      </c>
      <c r="X56" t="n">
        <v>5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50046</v>
      </c>
      <c r="C57" t="inlineStr">
        <is>
          <t>Texas Retail Energy,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OH</t>
        </is>
      </c>
      <c r="H57" t="inlineStr">
        <is>
          <t>Retail Power Marketer</t>
        </is>
      </c>
      <c r="I57" t="inlineStr">
        <is>
          <t>PJM</t>
        </is>
      </c>
      <c r="J57" t="n">
        <v>0</v>
      </c>
      <c r="K57" t="n">
        <v>0</v>
      </c>
      <c r="L57" t="n">
        <v>0</v>
      </c>
      <c r="M57" t="n">
        <v>30441.8</v>
      </c>
      <c r="N57" t="n">
        <v>564590</v>
      </c>
      <c r="O57" t="n">
        <v>212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30441.8</v>
      </c>
      <c r="W57" t="n">
        <v>564590</v>
      </c>
      <c r="X57" t="n">
        <v>212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50153</v>
      </c>
      <c r="C58" t="inlineStr">
        <is>
          <t>APN Starfirst, L.P.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OH</t>
        </is>
      </c>
      <c r="H58" t="inlineStr">
        <is>
          <t>Retail Power Marketer</t>
        </is>
      </c>
      <c r="I58" t="inlineStr">
        <is>
          <t>PJM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5316.9</v>
      </c>
      <c r="Q58" t="n">
        <v>152290</v>
      </c>
      <c r="R58" t="n">
        <v>7</v>
      </c>
      <c r="S58" t="n">
        <v>0</v>
      </c>
      <c r="T58" t="n">
        <v>0</v>
      </c>
      <c r="U58" t="n">
        <v>0</v>
      </c>
      <c r="V58" t="n">
        <v>5316.9</v>
      </c>
      <c r="W58" t="n">
        <v>152290</v>
      </c>
      <c r="X58" t="n">
        <v>7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54820</v>
      </c>
      <c r="C59" t="inlineStr">
        <is>
          <t>Direct Energy Services</t>
        </is>
      </c>
      <c r="D59" t="inlineStr">
        <is>
          <t>B</t>
        </is>
      </c>
      <c r="E59" t="inlineStr">
        <is>
          <t>Energy</t>
        </is>
      </c>
      <c r="F59" t="inlineStr">
        <is>
          <t>O</t>
        </is>
      </c>
      <c r="G59" t="inlineStr">
        <is>
          <t>OH</t>
        </is>
      </c>
      <c r="H59" t="inlineStr">
        <is>
          <t>Retail Power Marketer</t>
        </is>
      </c>
      <c r="I59" t="inlineStr">
        <is>
          <t>PJM</t>
        </is>
      </c>
      <c r="J59" t="n">
        <v>62335.4</v>
      </c>
      <c r="K59" t="n">
        <v>772417</v>
      </c>
      <c r="L59" t="n">
        <v>81905</v>
      </c>
      <c r="M59" t="n">
        <v>6174.8</v>
      </c>
      <c r="N59" t="n">
        <v>81140</v>
      </c>
      <c r="O59" t="n">
        <v>4562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68510.2</v>
      </c>
      <c r="W59" t="n">
        <v>853557</v>
      </c>
      <c r="X59" t="n">
        <v>86467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54862</v>
      </c>
      <c r="C60" t="inlineStr">
        <is>
          <t>Champion Energy Services</t>
        </is>
      </c>
      <c r="D60" t="inlineStr">
        <is>
          <t>B</t>
        </is>
      </c>
      <c r="E60" t="inlineStr">
        <is>
          <t>Energy</t>
        </is>
      </c>
      <c r="F60" t="inlineStr">
        <is>
          <t>O</t>
        </is>
      </c>
      <c r="G60" t="inlineStr">
        <is>
          <t>OH</t>
        </is>
      </c>
      <c r="H60" t="inlineStr">
        <is>
          <t>Retail Power Marketer</t>
        </is>
      </c>
      <c r="I60" t="inlineStr">
        <is>
          <t>PJM</t>
        </is>
      </c>
      <c r="J60" t="n">
        <v>0</v>
      </c>
      <c r="K60" t="n">
        <v>0</v>
      </c>
      <c r="L60" t="n">
        <v>0</v>
      </c>
      <c r="M60" t="n">
        <v>38432</v>
      </c>
      <c r="N60" t="n">
        <v>730934</v>
      </c>
      <c r="O60" t="n">
        <v>2901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38432</v>
      </c>
      <c r="W60" t="n">
        <v>730934</v>
      </c>
      <c r="X60" t="n">
        <v>2901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55722</v>
      </c>
      <c r="C61" t="inlineStr">
        <is>
          <t>AEP Energy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OH</t>
        </is>
      </c>
      <c r="H61" t="inlineStr">
        <is>
          <t>Retail Power Marketer</t>
        </is>
      </c>
      <c r="I61" t="inlineStr">
        <is>
          <t>PJM</t>
        </is>
      </c>
      <c r="J61" t="n">
        <v>313524.3</v>
      </c>
      <c r="K61" t="n">
        <v>4135467</v>
      </c>
      <c r="L61" t="n">
        <v>446968</v>
      </c>
      <c r="M61" t="n">
        <v>592540.9</v>
      </c>
      <c r="N61" t="n">
        <v>12386872</v>
      </c>
      <c r="O61" t="n">
        <v>60795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906065.2</v>
      </c>
      <c r="W61" t="n">
        <v>16522339</v>
      </c>
      <c r="X61" t="n">
        <v>507763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55815</v>
      </c>
      <c r="C62" t="inlineStr">
        <is>
          <t>IDT Energy, Inc.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OH</t>
        </is>
      </c>
      <c r="H62" t="inlineStr">
        <is>
          <t>Retail Power Marketer</t>
        </is>
      </c>
      <c r="I62" t="inlineStr">
        <is>
          <t>PJM</t>
        </is>
      </c>
      <c r="J62" t="n">
        <v>3322.1</v>
      </c>
      <c r="K62" t="n">
        <v>24128</v>
      </c>
      <c r="L62" t="n">
        <v>3269</v>
      </c>
      <c r="M62" t="n">
        <v>40.9</v>
      </c>
      <c r="N62" t="n">
        <v>301</v>
      </c>
      <c r="O62" t="n">
        <v>24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3363</v>
      </c>
      <c r="W62" t="n">
        <v>24429</v>
      </c>
      <c r="X62" t="n">
        <v>3293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55874</v>
      </c>
      <c r="C63" t="inlineStr">
        <is>
          <t>Energy Services Providers, Inc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OH</t>
        </is>
      </c>
      <c r="H63" t="inlineStr">
        <is>
          <t>Retail Power Marketer</t>
        </is>
      </c>
      <c r="I63" t="inlineStr">
        <is>
          <t>PJM</t>
        </is>
      </c>
      <c r="J63" t="n">
        <v>16733.8</v>
      </c>
      <c r="K63" t="n">
        <v>163269</v>
      </c>
      <c r="L63" t="n">
        <v>15009</v>
      </c>
      <c r="M63" t="n">
        <v>490.9</v>
      </c>
      <c r="N63" t="n">
        <v>5301</v>
      </c>
      <c r="O63" t="n">
        <v>126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17224.7</v>
      </c>
      <c r="W63" t="n">
        <v>168570</v>
      </c>
      <c r="X63" t="n">
        <v>15135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55878</v>
      </c>
      <c r="C64" t="inlineStr">
        <is>
          <t>Hudson Energy Services</t>
        </is>
      </c>
      <c r="D64" t="inlineStr">
        <is>
          <t>B</t>
        </is>
      </c>
      <c r="E64" t="inlineStr">
        <is>
          <t>Energy</t>
        </is>
      </c>
      <c r="F64" t="inlineStr">
        <is>
          <t>O</t>
        </is>
      </c>
      <c r="G64" t="inlineStr">
        <is>
          <t>OH</t>
        </is>
      </c>
      <c r="H64" t="inlineStr">
        <is>
          <t>Retail Power Marketer</t>
        </is>
      </c>
      <c r="I64" t="inlineStr">
        <is>
          <t>PJM</t>
        </is>
      </c>
      <c r="J64" t="n">
        <v>0</v>
      </c>
      <c r="K64" t="n">
        <v>0</v>
      </c>
      <c r="L64" t="n">
        <v>0</v>
      </c>
      <c r="M64" t="n">
        <v>25823.7</v>
      </c>
      <c r="N64" t="n">
        <v>380012</v>
      </c>
      <c r="O64" t="n">
        <v>4863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25823.7</v>
      </c>
      <c r="W64" t="n">
        <v>380012</v>
      </c>
      <c r="X64" t="n">
        <v>4863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56212</v>
      </c>
      <c r="C65" t="inlineStr">
        <is>
          <t>Ambit Energy Holdings, LLC</t>
        </is>
      </c>
      <c r="D65" t="inlineStr">
        <is>
          <t>B</t>
        </is>
      </c>
      <c r="E65" t="inlineStr">
        <is>
          <t>Energy</t>
        </is>
      </c>
      <c r="F65" t="inlineStr">
        <is>
          <t>O</t>
        </is>
      </c>
      <c r="G65" t="inlineStr">
        <is>
          <t>OH</t>
        </is>
      </c>
      <c r="H65" t="inlineStr">
        <is>
          <t>Retail Power Marketer</t>
        </is>
      </c>
      <c r="I65" t="inlineStr">
        <is>
          <t>PJM</t>
        </is>
      </c>
      <c r="J65" t="n">
        <v>1744.9</v>
      </c>
      <c r="K65" t="n">
        <v>14954</v>
      </c>
      <c r="L65" t="n">
        <v>1534</v>
      </c>
      <c r="M65" t="n">
        <v>469.4</v>
      </c>
      <c r="N65" t="n">
        <v>5028</v>
      </c>
      <c r="O65" t="n">
        <v>252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2214.3</v>
      </c>
      <c r="W65" t="n">
        <v>19982</v>
      </c>
      <c r="X65" t="n">
        <v>1786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56265</v>
      </c>
      <c r="C66" t="inlineStr">
        <is>
          <t>Energy Plus Holdings LLC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OH</t>
        </is>
      </c>
      <c r="H66" t="inlineStr">
        <is>
          <t>Retail Power Marketer</t>
        </is>
      </c>
      <c r="I66" t="inlineStr">
        <is>
          <t>PJM</t>
        </is>
      </c>
      <c r="J66" t="n">
        <v>180.5</v>
      </c>
      <c r="K66" t="n">
        <v>1496</v>
      </c>
      <c r="L66" t="n">
        <v>164</v>
      </c>
      <c r="M66" t="n">
        <v>4.9</v>
      </c>
      <c r="N66" t="n">
        <v>40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185.4</v>
      </c>
      <c r="W66" t="n">
        <v>1536</v>
      </c>
      <c r="X66" t="n">
        <v>165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56286</v>
      </c>
      <c r="C67" t="inlineStr">
        <is>
          <t>Frontier Utilities, LLC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OH</t>
        </is>
      </c>
      <c r="H67" t="inlineStr">
        <is>
          <t>Retail Power Marketer</t>
        </is>
      </c>
      <c r="I67" t="inlineStr">
        <is>
          <t>PJM</t>
        </is>
      </c>
      <c r="J67" t="n">
        <v>753.1</v>
      </c>
      <c r="K67" t="n">
        <v>7110</v>
      </c>
      <c r="L67" t="n">
        <v>640</v>
      </c>
      <c r="M67" t="inlineStr">
        <is>
          <t>.</t>
        </is>
      </c>
      <c r="N67" t="inlineStr">
        <is>
          <t>.</t>
        </is>
      </c>
      <c r="O67" t="inlineStr">
        <is>
          <t>.</t>
        </is>
      </c>
      <c r="P67" t="inlineStr">
        <is>
          <t>.</t>
        </is>
      </c>
      <c r="Q67" t="inlineStr">
        <is>
          <t>.</t>
        </is>
      </c>
      <c r="R67" t="inlineStr">
        <is>
          <t>.</t>
        </is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n">
        <v>753.1</v>
      </c>
      <c r="W67" t="n">
        <v>7110</v>
      </c>
      <c r="X67" t="n">
        <v>640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56504</v>
      </c>
      <c r="C68" t="inlineStr">
        <is>
          <t>Major Energy Electric Services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OH</t>
        </is>
      </c>
      <c r="H68" t="inlineStr">
        <is>
          <t>Retail Power Marketer</t>
        </is>
      </c>
      <c r="I68" t="inlineStr">
        <is>
          <t>PJM</t>
        </is>
      </c>
      <c r="J68" t="n">
        <v>2894</v>
      </c>
      <c r="K68" t="n">
        <v>29494</v>
      </c>
      <c r="L68" t="n">
        <v>4234</v>
      </c>
      <c r="M68" t="n">
        <v>337</v>
      </c>
      <c r="N68" t="n">
        <v>4859</v>
      </c>
      <c r="O68" t="n">
        <v>44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3231</v>
      </c>
      <c r="W68" t="n">
        <v>34353</v>
      </c>
      <c r="X68" t="n">
        <v>4278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56571</v>
      </c>
      <c r="C69" t="inlineStr">
        <is>
          <t>AP Holdings LLC</t>
        </is>
      </c>
      <c r="D69" t="inlineStr">
        <is>
          <t>B</t>
        </is>
      </c>
      <c r="E69" t="inlineStr">
        <is>
          <t>Energy</t>
        </is>
      </c>
      <c r="F69" t="inlineStr">
        <is>
          <t>O</t>
        </is>
      </c>
      <c r="G69" t="inlineStr">
        <is>
          <t>OH</t>
        </is>
      </c>
      <c r="H69" t="inlineStr">
        <is>
          <t>Retail Power Marketer</t>
        </is>
      </c>
      <c r="I69" t="inlineStr">
        <is>
          <t>PJM</t>
        </is>
      </c>
      <c r="J69" t="n">
        <v>2387.5</v>
      </c>
      <c r="K69" t="n">
        <v>30062</v>
      </c>
      <c r="L69" t="n">
        <v>3649</v>
      </c>
      <c r="M69" t="n">
        <v>12630.6</v>
      </c>
      <c r="N69" t="n">
        <v>193363</v>
      </c>
      <c r="O69" t="n">
        <v>3622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15018.1</v>
      </c>
      <c r="W69" t="n">
        <v>223425</v>
      </c>
      <c r="X69" t="n">
        <v>7271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57037</v>
      </c>
      <c r="C70" t="inlineStr">
        <is>
          <t>Reliant Energy Northeast LLC</t>
        </is>
      </c>
      <c r="D70" t="inlineStr">
        <is>
          <t>B</t>
        </is>
      </c>
      <c r="E70" t="inlineStr">
        <is>
          <t>Energy</t>
        </is>
      </c>
      <c r="F70" t="inlineStr">
        <is>
          <t>O</t>
        </is>
      </c>
      <c r="G70" t="inlineStr">
        <is>
          <t>OH</t>
        </is>
      </c>
      <c r="H70" t="inlineStr">
        <is>
          <t>Retail Power Marketer</t>
        </is>
      </c>
      <c r="I70" t="inlineStr">
        <is>
          <t>PJM</t>
        </is>
      </c>
      <c r="J70" t="n">
        <v>118259</v>
      </c>
      <c r="K70" t="n">
        <v>1170180</v>
      </c>
      <c r="L70" t="n">
        <v>113975</v>
      </c>
      <c r="M70" t="n">
        <v>92</v>
      </c>
      <c r="N70" t="n">
        <v>810</v>
      </c>
      <c r="O70" t="n">
        <v>42</v>
      </c>
      <c r="P70" t="n">
        <v>4427</v>
      </c>
      <c r="Q70" t="n">
        <v>76404</v>
      </c>
      <c r="R70" t="n">
        <v>3</v>
      </c>
      <c r="S70" t="n">
        <v>0</v>
      </c>
      <c r="T70" t="n">
        <v>0</v>
      </c>
      <c r="U70" t="inlineStr">
        <is>
          <t>.</t>
        </is>
      </c>
      <c r="V70" t="n">
        <v>122778</v>
      </c>
      <c r="W70" t="n">
        <v>1247394</v>
      </c>
      <c r="X70" t="n">
        <v>114020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57307</v>
      </c>
      <c r="C71" t="inlineStr">
        <is>
          <t>ENGIE Power &amp; Gas LLC</t>
        </is>
      </c>
      <c r="D71" t="inlineStr">
        <is>
          <t>B</t>
        </is>
      </c>
      <c r="E71" t="inlineStr">
        <is>
          <t>Energy</t>
        </is>
      </c>
      <c r="F71" t="inlineStr">
        <is>
          <t>O</t>
        </is>
      </c>
      <c r="G71" t="inlineStr">
        <is>
          <t>OH</t>
        </is>
      </c>
      <c r="H71" t="inlineStr">
        <is>
          <t>Retail Power Marketer</t>
        </is>
      </c>
      <c r="I71" t="inlineStr">
        <is>
          <t>PJM</t>
        </is>
      </c>
      <c r="J71" t="n">
        <v>112.8</v>
      </c>
      <c r="K71" t="n">
        <v>1114</v>
      </c>
      <c r="L71" t="n">
        <v>144</v>
      </c>
      <c r="M71" t="n">
        <v>62</v>
      </c>
      <c r="N71" t="n">
        <v>799</v>
      </c>
      <c r="O71" t="n">
        <v>16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174.8</v>
      </c>
      <c r="W71" t="n">
        <v>1913</v>
      </c>
      <c r="X71" t="n">
        <v>160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57313</v>
      </c>
      <c r="C72" t="inlineStr">
        <is>
          <t>Tesla Inc.</t>
        </is>
      </c>
      <c r="D72" t="inlineStr">
        <is>
          <t>A</t>
        </is>
      </c>
      <c r="E72" t="inlineStr">
        <is>
          <t>Bundled</t>
        </is>
      </c>
      <c r="F72" t="inlineStr">
        <is>
          <t>O</t>
        </is>
      </c>
      <c r="G72" t="inlineStr">
        <is>
          <t>OH</t>
        </is>
      </c>
      <c r="H72" t="inlineStr">
        <is>
          <t>Behind the Meter</t>
        </is>
      </c>
      <c r="I72" t="inlineStr">
        <is>
          <t>PJM</t>
        </is>
      </c>
      <c r="J72" t="n">
        <v>0</v>
      </c>
      <c r="K72" t="n">
        <v>0</v>
      </c>
      <c r="L72" t="n">
        <v>0</v>
      </c>
      <c r="M72" t="n">
        <v>506</v>
      </c>
      <c r="N72" t="n">
        <v>5549</v>
      </c>
      <c r="O72" t="n">
        <v>18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506</v>
      </c>
      <c r="W72" t="n">
        <v>5549</v>
      </c>
      <c r="X72" t="n">
        <v>18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58119</v>
      </c>
      <c r="C73" t="inlineStr">
        <is>
          <t>Public Power LLC (CT)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OH</t>
        </is>
      </c>
      <c r="H73" t="inlineStr">
        <is>
          <t>Retail Power Marketer</t>
        </is>
      </c>
      <c r="I73" t="inlineStr">
        <is>
          <t>PJM</t>
        </is>
      </c>
      <c r="J73" t="n">
        <v>18573.3</v>
      </c>
      <c r="K73" t="n">
        <v>274497</v>
      </c>
      <c r="L73" t="n">
        <v>23023</v>
      </c>
      <c r="M73" t="n">
        <v>3341.4</v>
      </c>
      <c r="N73" t="n">
        <v>43483</v>
      </c>
      <c r="O73" t="n">
        <v>1025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21914.7</v>
      </c>
      <c r="W73" t="n">
        <v>317980</v>
      </c>
      <c r="X73" t="n">
        <v>24048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58162</v>
      </c>
      <c r="C74" t="inlineStr">
        <is>
          <t>Viridian Energy PA LLC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OH</t>
        </is>
      </c>
      <c r="H74" t="inlineStr">
        <is>
          <t>Retail Power Marketer</t>
        </is>
      </c>
      <c r="I74" t="inlineStr">
        <is>
          <t>PJM</t>
        </is>
      </c>
      <c r="J74" t="n">
        <v>36</v>
      </c>
      <c r="K74" t="n">
        <v>272</v>
      </c>
      <c r="L74" t="n">
        <v>29</v>
      </c>
      <c r="M74" t="n">
        <v>15.6</v>
      </c>
      <c r="N74" t="n">
        <v>118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51.6</v>
      </c>
      <c r="W74" t="n">
        <v>390</v>
      </c>
      <c r="X74" t="n">
        <v>36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58667</v>
      </c>
      <c r="C75" t="inlineStr">
        <is>
          <t>North American Power and Gas, LLC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OH</t>
        </is>
      </c>
      <c r="H75" t="inlineStr">
        <is>
          <t>Retail Power Marketer</t>
        </is>
      </c>
      <c r="I75" t="inlineStr">
        <is>
          <t>PJM</t>
        </is>
      </c>
      <c r="J75" t="n">
        <v>2399.3</v>
      </c>
      <c r="K75" t="n">
        <v>17714</v>
      </c>
      <c r="L75" t="n">
        <v>1769</v>
      </c>
      <c r="M75" t="n">
        <v>24.1</v>
      </c>
      <c r="N75" t="n">
        <v>173</v>
      </c>
      <c r="O75" t="n">
        <v>12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2423.4</v>
      </c>
      <c r="W75" t="n">
        <v>17887</v>
      </c>
      <c r="X75" t="n">
        <v>1781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58853</v>
      </c>
      <c r="C76" t="inlineStr">
        <is>
          <t>Kiwi Energy NY LLC</t>
        </is>
      </c>
      <c r="D76" t="inlineStr">
        <is>
          <t>B</t>
        </is>
      </c>
      <c r="E76" t="inlineStr">
        <is>
          <t>Energy</t>
        </is>
      </c>
      <c r="F76" t="inlineStr">
        <is>
          <t>O</t>
        </is>
      </c>
      <c r="G76" t="inlineStr">
        <is>
          <t>OH</t>
        </is>
      </c>
      <c r="H76" t="inlineStr">
        <is>
          <t>Retail Power Marketer</t>
        </is>
      </c>
      <c r="I76" t="inlineStr">
        <is>
          <t>PJM</t>
        </is>
      </c>
      <c r="J76" t="n">
        <v>2368</v>
      </c>
      <c r="K76" t="n">
        <v>20919</v>
      </c>
      <c r="L76" t="n">
        <v>2775</v>
      </c>
      <c r="M76" t="n">
        <v>39</v>
      </c>
      <c r="N76" t="n">
        <v>343</v>
      </c>
      <c r="O76" t="n">
        <v>58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2407</v>
      </c>
      <c r="W76" t="n">
        <v>21262</v>
      </c>
      <c r="X76" t="n">
        <v>2833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58951</v>
      </c>
      <c r="C77" t="inlineStr">
        <is>
          <t>CleanChoice Energy, Inc.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OH</t>
        </is>
      </c>
      <c r="H77" t="inlineStr">
        <is>
          <t>Retail Power Marketer</t>
        </is>
      </c>
      <c r="I77" t="inlineStr">
        <is>
          <t>PJM</t>
        </is>
      </c>
      <c r="J77" t="n">
        <v>18157.3</v>
      </c>
      <c r="K77" t="n">
        <v>209312</v>
      </c>
      <c r="L77" t="n">
        <v>22951</v>
      </c>
      <c r="M77" t="n">
        <v>112.5</v>
      </c>
      <c r="N77" t="n">
        <v>1397</v>
      </c>
      <c r="O77" t="n">
        <v>160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18269.8</v>
      </c>
      <c r="W77" t="n">
        <v>210709</v>
      </c>
      <c r="X77" t="n">
        <v>23111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58952</v>
      </c>
      <c r="C78" t="inlineStr">
        <is>
          <t>Tomorrow Energy Corp.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OH</t>
        </is>
      </c>
      <c r="H78" t="inlineStr">
        <is>
          <t>Retail Power Marketer</t>
        </is>
      </c>
      <c r="I78" t="inlineStr">
        <is>
          <t>PJM</t>
        </is>
      </c>
      <c r="J78" t="n">
        <v>4711.4</v>
      </c>
      <c r="K78" t="n">
        <v>39496</v>
      </c>
      <c r="L78" t="n">
        <v>4634</v>
      </c>
      <c r="M78" t="n">
        <v>1.9</v>
      </c>
      <c r="N78" t="n">
        <v>7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4713.3</v>
      </c>
      <c r="W78" t="n">
        <v>39503</v>
      </c>
      <c r="X78" t="n">
        <v>4637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58956</v>
      </c>
      <c r="C79" t="inlineStr">
        <is>
          <t>SmartEnergy Holdings, LLC</t>
        </is>
      </c>
      <c r="D79" t="inlineStr">
        <is>
          <t>B</t>
        </is>
      </c>
      <c r="E79" t="inlineStr">
        <is>
          <t>Energy</t>
        </is>
      </c>
      <c r="F79" t="inlineStr">
        <is>
          <t>O</t>
        </is>
      </c>
      <c r="G79" t="inlineStr">
        <is>
          <t>OH</t>
        </is>
      </c>
      <c r="H79" t="inlineStr">
        <is>
          <t>Retail Power Marketer</t>
        </is>
      </c>
      <c r="I79" t="inlineStr">
        <is>
          <t>PJM</t>
        </is>
      </c>
      <c r="J79" t="n">
        <v>22456</v>
      </c>
      <c r="K79" t="n">
        <v>225588</v>
      </c>
      <c r="L79" t="n">
        <v>28861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22456</v>
      </c>
      <c r="W79" t="n">
        <v>225588</v>
      </c>
      <c r="X79" t="n">
        <v>28861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58957</v>
      </c>
      <c r="C80" t="inlineStr">
        <is>
          <t>Interstate Gas Supply, Inc.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OH</t>
        </is>
      </c>
      <c r="H80" t="inlineStr">
        <is>
          <t>Retail Power Marketer</t>
        </is>
      </c>
      <c r="I80" t="inlineStr">
        <is>
          <t>PJM</t>
        </is>
      </c>
      <c r="J80" t="n">
        <v>133310</v>
      </c>
      <c r="K80" t="n">
        <v>1448495</v>
      </c>
      <c r="L80" t="n">
        <v>168756</v>
      </c>
      <c r="M80" t="n">
        <v>232196</v>
      </c>
      <c r="N80" t="n">
        <v>4462495</v>
      </c>
      <c r="O80" t="n">
        <v>31338</v>
      </c>
      <c r="P80" t="inlineStr">
        <is>
          <t>.</t>
        </is>
      </c>
      <c r="Q80" t="inlineStr">
        <is>
          <t>.</t>
        </is>
      </c>
      <c r="R80" t="inlineStr">
        <is>
          <t>.</t>
        </is>
      </c>
      <c r="S80" t="inlineStr">
        <is>
          <t>.</t>
        </is>
      </c>
      <c r="T80" t="inlineStr">
        <is>
          <t>.</t>
        </is>
      </c>
      <c r="U80" t="inlineStr">
        <is>
          <t>.</t>
        </is>
      </c>
      <c r="V80" t="n">
        <v>365506</v>
      </c>
      <c r="W80" t="n">
        <v>5910990</v>
      </c>
      <c r="X80" t="n">
        <v>200094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58964</v>
      </c>
      <c r="C81" t="inlineStr">
        <is>
          <t>Alpha Gas and Electric, LLC</t>
        </is>
      </c>
      <c r="D81" t="inlineStr">
        <is>
          <t>B</t>
        </is>
      </c>
      <c r="E81" t="inlineStr">
        <is>
          <t>Energy</t>
        </is>
      </c>
      <c r="F81" t="inlineStr">
        <is>
          <t>O</t>
        </is>
      </c>
      <c r="G81" t="inlineStr">
        <is>
          <t>OH</t>
        </is>
      </c>
      <c r="H81" t="inlineStr">
        <is>
          <t>Retail Power Marketer</t>
        </is>
      </c>
      <c r="I81" t="inlineStr">
        <is>
          <t>PJM</t>
        </is>
      </c>
      <c r="J81" t="n">
        <v>1782.9</v>
      </c>
      <c r="K81" t="n">
        <v>13140</v>
      </c>
      <c r="L81" t="n">
        <v>1748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1782.9</v>
      </c>
      <c r="W81" t="n">
        <v>13140</v>
      </c>
      <c r="X81" t="n">
        <v>1748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58972</v>
      </c>
      <c r="C82" t="inlineStr">
        <is>
          <t>Realgy, LLC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OH</t>
        </is>
      </c>
      <c r="H82" t="inlineStr">
        <is>
          <t>Retail Power Marketer</t>
        </is>
      </c>
      <c r="I82" t="inlineStr">
        <is>
          <t>PJM</t>
        </is>
      </c>
      <c r="J82" t="n">
        <v>2219.5</v>
      </c>
      <c r="K82" t="n">
        <v>23267</v>
      </c>
      <c r="L82" t="n">
        <v>2859</v>
      </c>
      <c r="M82" t="n">
        <v>578.6</v>
      </c>
      <c r="N82" t="n">
        <v>6738</v>
      </c>
      <c r="O82" t="n">
        <v>318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2798.1</v>
      </c>
      <c r="W82" t="n">
        <v>30005</v>
      </c>
      <c r="X82" t="n">
        <v>3177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58973</v>
      </c>
      <c r="C83" t="inlineStr">
        <is>
          <t>Town Square Energy East, LLC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OH</t>
        </is>
      </c>
      <c r="H83" t="inlineStr">
        <is>
          <t>Retail Power Marketer</t>
        </is>
      </c>
      <c r="I83" t="inlineStr">
        <is>
          <t>PJM</t>
        </is>
      </c>
      <c r="J83" t="n">
        <v>333.8</v>
      </c>
      <c r="K83" t="n">
        <v>3458</v>
      </c>
      <c r="L83" t="n">
        <v>400</v>
      </c>
      <c r="M83" t="n">
        <v>91.8</v>
      </c>
      <c r="N83" t="n">
        <v>986</v>
      </c>
      <c r="O83" t="n">
        <v>29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425.6</v>
      </c>
      <c r="W83" t="n">
        <v>4444</v>
      </c>
      <c r="X83" t="n">
        <v>429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58974</v>
      </c>
      <c r="C84" t="inlineStr">
        <is>
          <t>Clearview Electric Inc.</t>
        </is>
      </c>
      <c r="D84" t="inlineStr">
        <is>
          <t>B</t>
        </is>
      </c>
      <c r="E84" t="inlineStr">
        <is>
          <t>Energy</t>
        </is>
      </c>
      <c r="F84" t="inlineStr">
        <is>
          <t>O</t>
        </is>
      </c>
      <c r="G84" t="inlineStr">
        <is>
          <t>OH</t>
        </is>
      </c>
      <c r="H84" t="inlineStr">
        <is>
          <t>Retail Power Marketer</t>
        </is>
      </c>
      <c r="I84" t="inlineStr">
        <is>
          <t>PJM</t>
        </is>
      </c>
      <c r="J84" t="n">
        <v>4324.8</v>
      </c>
      <c r="K84" t="n">
        <v>54247</v>
      </c>
      <c r="L84" t="n">
        <v>4745</v>
      </c>
      <c r="M84" t="n">
        <v>1.6</v>
      </c>
      <c r="N84" t="n">
        <v>21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4326.4</v>
      </c>
      <c r="W84" t="n">
        <v>54268</v>
      </c>
      <c r="X84" t="n">
        <v>4748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59054</v>
      </c>
      <c r="C85" t="inlineStr">
        <is>
          <t>Eligo Energy, LLC</t>
        </is>
      </c>
      <c r="D85" t="inlineStr">
        <is>
          <t>B</t>
        </is>
      </c>
      <c r="E85" t="inlineStr">
        <is>
          <t>Energy</t>
        </is>
      </c>
      <c r="F85" t="inlineStr">
        <is>
          <t>O</t>
        </is>
      </c>
      <c r="G85" t="inlineStr">
        <is>
          <t>OH</t>
        </is>
      </c>
      <c r="H85" t="inlineStr">
        <is>
          <t>Retail Power Marketer</t>
        </is>
      </c>
      <c r="I85" t="inlineStr">
        <is>
          <t>PJM</t>
        </is>
      </c>
      <c r="J85" t="n">
        <v>5349.3</v>
      </c>
      <c r="K85" t="n">
        <v>46133</v>
      </c>
      <c r="L85" t="n">
        <v>4940</v>
      </c>
      <c r="M85" t="n">
        <v>6298.2</v>
      </c>
      <c r="N85" t="n">
        <v>56086</v>
      </c>
      <c r="O85" t="n">
        <v>2029</v>
      </c>
      <c r="P85" t="inlineStr">
        <is>
          <t>.</t>
        </is>
      </c>
      <c r="Q85" t="inlineStr">
        <is>
          <t>.</t>
        </is>
      </c>
      <c r="R85" t="inlineStr">
        <is>
          <t>.</t>
        </is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n">
        <v>11647.5</v>
      </c>
      <c r="W85" t="n">
        <v>102219</v>
      </c>
      <c r="X85" t="n">
        <v>6969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59055</v>
      </c>
      <c r="C86" t="inlineStr">
        <is>
          <t>Choice Energy, LLC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OH</t>
        </is>
      </c>
      <c r="H86" t="inlineStr">
        <is>
          <t>Retail Power Marketer</t>
        </is>
      </c>
      <c r="I86" t="inlineStr">
        <is>
          <t>PJM</t>
        </is>
      </c>
      <c r="J86" t="n">
        <v>410</v>
      </c>
      <c r="K86" t="n">
        <v>2994</v>
      </c>
      <c r="L86" t="n">
        <v>387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410</v>
      </c>
      <c r="W86" t="n">
        <v>2994</v>
      </c>
      <c r="X86" t="n">
        <v>387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59064</v>
      </c>
      <c r="C87" t="inlineStr">
        <is>
          <t>Great American Power, LLC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OH</t>
        </is>
      </c>
      <c r="H87" t="inlineStr">
        <is>
          <t>Retail Power Marketer</t>
        </is>
      </c>
      <c r="I87" t="inlineStr">
        <is>
          <t>PJM</t>
        </is>
      </c>
      <c r="J87" t="n">
        <v>91.59999999999999</v>
      </c>
      <c r="K87" t="n">
        <v>1210</v>
      </c>
      <c r="L87" t="n">
        <v>201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91.59999999999999</v>
      </c>
      <c r="W87" t="n">
        <v>1210</v>
      </c>
      <c r="X87" t="n">
        <v>201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59065</v>
      </c>
      <c r="C88" t="inlineStr">
        <is>
          <t>Titan Gas LLC</t>
        </is>
      </c>
      <c r="D88" t="inlineStr">
        <is>
          <t>B</t>
        </is>
      </c>
      <c r="E88" t="inlineStr">
        <is>
          <t>Energy</t>
        </is>
      </c>
      <c r="F88" t="inlineStr">
        <is>
          <t>O</t>
        </is>
      </c>
      <c r="G88" t="inlineStr">
        <is>
          <t>OH</t>
        </is>
      </c>
      <c r="H88" t="inlineStr">
        <is>
          <t>Retail Power Marketer</t>
        </is>
      </c>
      <c r="I88" t="inlineStr">
        <is>
          <t>PJM</t>
        </is>
      </c>
      <c r="J88" t="n">
        <v>8407.200000000001</v>
      </c>
      <c r="K88" t="n">
        <v>66656</v>
      </c>
      <c r="L88" t="n">
        <v>7601</v>
      </c>
      <c r="M88" t="n">
        <v>251.6</v>
      </c>
      <c r="N88" t="n">
        <v>2294</v>
      </c>
      <c r="O88" t="n">
        <v>55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8658.799999999999</v>
      </c>
      <c r="W88" t="n">
        <v>68950</v>
      </c>
      <c r="X88" t="n">
        <v>7656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59088</v>
      </c>
      <c r="C89" t="inlineStr">
        <is>
          <t>Nordic Energy Services, LLC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OH</t>
        </is>
      </c>
      <c r="H89" t="inlineStr">
        <is>
          <t>Retail Power Marketer</t>
        </is>
      </c>
      <c r="I89" t="inlineStr">
        <is>
          <t>PJM</t>
        </is>
      </c>
      <c r="J89" t="n">
        <v>7061.8</v>
      </c>
      <c r="K89" t="n">
        <v>58399</v>
      </c>
      <c r="L89" t="n">
        <v>9462</v>
      </c>
      <c r="M89" t="n">
        <v>850.5</v>
      </c>
      <c r="N89" t="n">
        <v>6919</v>
      </c>
      <c r="O89" t="n">
        <v>396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7912.3</v>
      </c>
      <c r="W89" t="n">
        <v>65318</v>
      </c>
      <c r="X89" t="n">
        <v>9858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59310</v>
      </c>
      <c r="C90" t="inlineStr">
        <is>
          <t>Inspire Energy Holdings, LLC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OH</t>
        </is>
      </c>
      <c r="H90" t="inlineStr">
        <is>
          <t>Retail Power Marketer</t>
        </is>
      </c>
      <c r="I90" t="inlineStr">
        <is>
          <t>PJM</t>
        </is>
      </c>
      <c r="J90" t="n">
        <v>38113.9</v>
      </c>
      <c r="K90" t="n">
        <v>279573</v>
      </c>
      <c r="L90" t="n">
        <v>35488</v>
      </c>
      <c r="M90" t="n">
        <v>124.8</v>
      </c>
      <c r="N90" t="n">
        <v>1055</v>
      </c>
      <c r="O90" t="n">
        <v>88</v>
      </c>
      <c r="P90" t="inlineStr">
        <is>
          <t>.</t>
        </is>
      </c>
      <c r="Q90" t="inlineStr">
        <is>
          <t>.</t>
        </is>
      </c>
      <c r="R90" t="inlineStr">
        <is>
          <t>.</t>
        </is>
      </c>
      <c r="S90" t="inlineStr">
        <is>
          <t>.</t>
        </is>
      </c>
      <c r="T90" t="inlineStr">
        <is>
          <t>.</t>
        </is>
      </c>
      <c r="U90" t="inlineStr">
        <is>
          <t>.</t>
        </is>
      </c>
      <c r="V90" t="n">
        <v>38238.7</v>
      </c>
      <c r="W90" t="n">
        <v>280628</v>
      </c>
      <c r="X90" t="n">
        <v>35576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59311</v>
      </c>
      <c r="C91" t="inlineStr">
        <is>
          <t>XOOM Energy Ohio, LLC</t>
        </is>
      </c>
      <c r="D91" t="inlineStr">
        <is>
          <t>B</t>
        </is>
      </c>
      <c r="E91" t="inlineStr">
        <is>
          <t>Energy</t>
        </is>
      </c>
      <c r="F91" t="inlineStr">
        <is>
          <t>O</t>
        </is>
      </c>
      <c r="G91" t="inlineStr">
        <is>
          <t>OH</t>
        </is>
      </c>
      <c r="H91" t="inlineStr">
        <is>
          <t>Retail Power Marketer</t>
        </is>
      </c>
      <c r="I91" t="inlineStr">
        <is>
          <t>PJM</t>
        </is>
      </c>
      <c r="J91" t="n">
        <v>12065</v>
      </c>
      <c r="K91" t="n">
        <v>135354</v>
      </c>
      <c r="L91" t="n">
        <v>12224</v>
      </c>
      <c r="M91" t="n">
        <v>3739</v>
      </c>
      <c r="N91" t="n">
        <v>40824</v>
      </c>
      <c r="O91" t="n">
        <v>2164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15804</v>
      </c>
      <c r="W91" t="n">
        <v>176178</v>
      </c>
      <c r="X91" t="n">
        <v>14388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59385</v>
      </c>
      <c r="C92" t="inlineStr">
        <is>
          <t>Dynegy Energy Services,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OH</t>
        </is>
      </c>
      <c r="H92" t="inlineStr">
        <is>
          <t>Retail Power Marketer</t>
        </is>
      </c>
      <c r="I92" t="inlineStr">
        <is>
          <t>PJM</t>
        </is>
      </c>
      <c r="J92" t="n">
        <v>289916.4</v>
      </c>
      <c r="K92" t="n">
        <v>4271400</v>
      </c>
      <c r="L92" t="n">
        <v>444458</v>
      </c>
      <c r="M92" t="n">
        <v>498670</v>
      </c>
      <c r="N92" t="n">
        <v>9382753</v>
      </c>
      <c r="O92" t="n">
        <v>3754</v>
      </c>
      <c r="P92" t="n">
        <v>92566.39999999999</v>
      </c>
      <c r="Q92" t="n">
        <v>1701807</v>
      </c>
      <c r="R92" t="n">
        <v>97</v>
      </c>
      <c r="S92" t="n">
        <v>0</v>
      </c>
      <c r="T92" t="n">
        <v>0</v>
      </c>
      <c r="U92" t="n">
        <v>0</v>
      </c>
      <c r="V92" t="n">
        <v>881152.8</v>
      </c>
      <c r="W92" t="n">
        <v>15355960</v>
      </c>
      <c r="X92" t="n">
        <v>448309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59410</v>
      </c>
      <c r="C93" t="inlineStr">
        <is>
          <t>Shipley Choice, LLC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OH</t>
        </is>
      </c>
      <c r="H93" t="inlineStr">
        <is>
          <t>Retail Power Marketer</t>
        </is>
      </c>
      <c r="I93" t="inlineStr">
        <is>
          <t>PJM</t>
        </is>
      </c>
      <c r="J93" t="n">
        <v>7820.2</v>
      </c>
      <c r="K93" t="n">
        <v>115318</v>
      </c>
      <c r="L93" t="n">
        <v>10870</v>
      </c>
      <c r="M93" t="n">
        <v>9153.200000000001</v>
      </c>
      <c r="N93" t="n">
        <v>140226</v>
      </c>
      <c r="O93" t="n">
        <v>771</v>
      </c>
      <c r="P93" t="n">
        <v>1164.3</v>
      </c>
      <c r="Q93" t="n">
        <v>20833</v>
      </c>
      <c r="R93" t="n">
        <v>63</v>
      </c>
      <c r="S93" t="n">
        <v>0</v>
      </c>
      <c r="T93" t="n">
        <v>0</v>
      </c>
      <c r="U93" t="n">
        <v>0</v>
      </c>
      <c r="V93" t="n">
        <v>18137.7</v>
      </c>
      <c r="W93" t="n">
        <v>276377</v>
      </c>
      <c r="X93" t="n">
        <v>11704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59579</v>
      </c>
      <c r="C94" t="inlineStr">
        <is>
          <t>Sunnova</t>
        </is>
      </c>
      <c r="D94" t="inlineStr">
        <is>
          <t>A</t>
        </is>
      </c>
      <c r="E94" t="inlineStr">
        <is>
          <t>Bundled</t>
        </is>
      </c>
      <c r="F94" t="inlineStr">
        <is>
          <t>O</t>
        </is>
      </c>
      <c r="G94" t="inlineStr">
        <is>
          <t>OH</t>
        </is>
      </c>
      <c r="H94" t="inlineStr">
        <is>
          <t>Behind the Meter</t>
        </is>
      </c>
      <c r="I94" t="inlineStr">
        <is>
          <t>PJM</t>
        </is>
      </c>
      <c r="J94" t="n">
        <v>1.8</v>
      </c>
      <c r="K94" t="n">
        <v>6</v>
      </c>
      <c r="L94" t="n">
        <v>4</v>
      </c>
      <c r="M94" t="inlineStr">
        <is>
          <t>.</t>
        </is>
      </c>
      <c r="N94" t="inlineStr">
        <is>
          <t>.</t>
        </is>
      </c>
      <c r="O94" t="inlineStr">
        <is>
          <t>.</t>
        </is>
      </c>
      <c r="P94" t="inlineStr">
        <is>
          <t>.</t>
        </is>
      </c>
      <c r="Q94" t="inlineStr">
        <is>
          <t>.</t>
        </is>
      </c>
      <c r="R94" t="inlineStr">
        <is>
          <t>.</t>
        </is>
      </c>
      <c r="S94" t="inlineStr">
        <is>
          <t>.</t>
        </is>
      </c>
      <c r="T94" t="inlineStr">
        <is>
          <t>.</t>
        </is>
      </c>
      <c r="U94" t="inlineStr">
        <is>
          <t>.</t>
        </is>
      </c>
      <c r="V94" t="n">
        <v>1.8</v>
      </c>
      <c r="W94" t="n">
        <v>6</v>
      </c>
      <c r="X94" t="n">
        <v>4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59620</v>
      </c>
      <c r="C95" t="inlineStr">
        <is>
          <t>Verde Energy USA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OH</t>
        </is>
      </c>
      <c r="H95" t="inlineStr">
        <is>
          <t>Retail Power Marketer</t>
        </is>
      </c>
      <c r="I95" t="inlineStr">
        <is>
          <t>PJM</t>
        </is>
      </c>
      <c r="J95" t="n">
        <v>4207</v>
      </c>
      <c r="K95" t="n">
        <v>24395</v>
      </c>
      <c r="L95" t="n">
        <v>3146</v>
      </c>
      <c r="M95" t="n">
        <v>87</v>
      </c>
      <c r="N95" t="n">
        <v>629</v>
      </c>
      <c r="O95" t="n">
        <v>25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4294</v>
      </c>
      <c r="W95" t="n">
        <v>25024</v>
      </c>
      <c r="X95" t="n">
        <v>3171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59797</v>
      </c>
      <c r="C96" t="inlineStr">
        <is>
          <t>Park Power LLC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OH</t>
        </is>
      </c>
      <c r="H96" t="inlineStr">
        <is>
          <t>Retail Power Marketer</t>
        </is>
      </c>
      <c r="I96" t="inlineStr">
        <is>
          <t>PJM</t>
        </is>
      </c>
      <c r="J96" t="n">
        <v>1102.1</v>
      </c>
      <c r="K96" t="n">
        <v>6722</v>
      </c>
      <c r="L96" t="n">
        <v>845</v>
      </c>
      <c r="M96" t="inlineStr">
        <is>
          <t>.</t>
        </is>
      </c>
      <c r="N96" t="inlineStr">
        <is>
          <t>.</t>
        </is>
      </c>
      <c r="O96" t="inlineStr">
        <is>
          <t>.</t>
        </is>
      </c>
      <c r="P96" t="inlineStr">
        <is>
          <t>.</t>
        </is>
      </c>
      <c r="Q96" t="inlineStr">
        <is>
          <t>.</t>
        </is>
      </c>
      <c r="R96" t="inlineStr">
        <is>
          <t>.</t>
        </is>
      </c>
      <c r="S96" t="inlineStr">
        <is>
          <t>.</t>
        </is>
      </c>
      <c r="T96" t="inlineStr">
        <is>
          <t>.</t>
        </is>
      </c>
      <c r="U96" t="inlineStr">
        <is>
          <t>.</t>
        </is>
      </c>
      <c r="V96" t="n">
        <v>1102.1</v>
      </c>
      <c r="W96" t="n">
        <v>6722</v>
      </c>
      <c r="X96" t="n">
        <v>845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59799</v>
      </c>
      <c r="C97" t="inlineStr">
        <is>
          <t>American Power &amp; Gas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OH</t>
        </is>
      </c>
      <c r="H97" t="inlineStr">
        <is>
          <t>Retail Power Marketer</t>
        </is>
      </c>
      <c r="I97" t="inlineStr">
        <is>
          <t>PJM</t>
        </is>
      </c>
      <c r="J97" t="n">
        <v>6180.3</v>
      </c>
      <c r="K97" t="n">
        <v>52229</v>
      </c>
      <c r="L97" t="n">
        <v>4512</v>
      </c>
      <c r="M97" t="n">
        <v>15332.6</v>
      </c>
      <c r="N97" t="n">
        <v>126568</v>
      </c>
      <c r="O97" t="n">
        <v>5867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21512.9</v>
      </c>
      <c r="W97" t="n">
        <v>178797</v>
      </c>
      <c r="X97" t="n">
        <v>10379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59807</v>
      </c>
      <c r="C98" t="inlineStr">
        <is>
          <t>Rushmore Energy, LLC</t>
        </is>
      </c>
      <c r="D98" t="inlineStr">
        <is>
          <t>B</t>
        </is>
      </c>
      <c r="E98" t="inlineStr">
        <is>
          <t>Energy</t>
        </is>
      </c>
      <c r="F98" t="inlineStr">
        <is>
          <t>O</t>
        </is>
      </c>
      <c r="G98" t="inlineStr">
        <is>
          <t>OH</t>
        </is>
      </c>
      <c r="H98" t="inlineStr">
        <is>
          <t>Retail Power Marketer</t>
        </is>
      </c>
      <c r="I98" t="inlineStr">
        <is>
          <t>PJM</t>
        </is>
      </c>
      <c r="J98" t="n">
        <v>3949.4</v>
      </c>
      <c r="K98" t="n">
        <v>40919</v>
      </c>
      <c r="L98" t="n">
        <v>4822</v>
      </c>
      <c r="M98" t="n">
        <v>5.5</v>
      </c>
      <c r="N98" t="n">
        <v>53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3954.9</v>
      </c>
      <c r="W98" t="n">
        <v>40972</v>
      </c>
      <c r="X98" t="n">
        <v>4828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59808</v>
      </c>
      <c r="C99" t="inlineStr">
        <is>
          <t>MP2 Energy LLC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OH</t>
        </is>
      </c>
      <c r="H99" t="inlineStr">
        <is>
          <t>Retail Power Marketer</t>
        </is>
      </c>
      <c r="I99" t="inlineStr">
        <is>
          <t>PJM</t>
        </is>
      </c>
      <c r="J99" t="n">
        <v>0</v>
      </c>
      <c r="K99" t="n">
        <v>0</v>
      </c>
      <c r="L99" t="n">
        <v>0</v>
      </c>
      <c r="M99" t="n">
        <v>204209.4</v>
      </c>
      <c r="N99" t="n">
        <v>3709034</v>
      </c>
      <c r="O99" t="n">
        <v>5098</v>
      </c>
      <c r="P99" t="n">
        <v>32161.2</v>
      </c>
      <c r="Q99" t="n">
        <v>558171</v>
      </c>
      <c r="R99" t="n">
        <v>318</v>
      </c>
      <c r="S99" t="n">
        <v>664.4</v>
      </c>
      <c r="T99" t="n">
        <v>14297</v>
      </c>
      <c r="U99" t="n">
        <v>2</v>
      </c>
      <c r="V99" t="n">
        <v>237035</v>
      </c>
      <c r="W99" t="n">
        <v>4281502</v>
      </c>
      <c r="X99" t="n">
        <v>5418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59809</v>
      </c>
      <c r="C100" t="inlineStr">
        <is>
          <t>Residents Energy, LLC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OH</t>
        </is>
      </c>
      <c r="H100" t="inlineStr">
        <is>
          <t>Retail Power Marketer</t>
        </is>
      </c>
      <c r="I100" t="inlineStr">
        <is>
          <t>PJM</t>
        </is>
      </c>
      <c r="J100" t="n">
        <v>7050.7</v>
      </c>
      <c r="K100" t="n">
        <v>60079</v>
      </c>
      <c r="L100" t="n">
        <v>6792</v>
      </c>
      <c r="M100" t="n">
        <v>61.1</v>
      </c>
      <c r="N100" t="n">
        <v>669</v>
      </c>
      <c r="O100" t="n">
        <v>56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7111.8</v>
      </c>
      <c r="W100" t="n">
        <v>60748</v>
      </c>
      <c r="X100" t="n">
        <v>6848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59810</v>
      </c>
      <c r="C101" t="inlineStr">
        <is>
          <t>Greenlight Energy Inc.</t>
        </is>
      </c>
      <c r="D101" t="inlineStr">
        <is>
          <t>B</t>
        </is>
      </c>
      <c r="E101" t="inlineStr">
        <is>
          <t>Energy</t>
        </is>
      </c>
      <c r="F101" t="inlineStr">
        <is>
          <t>O</t>
        </is>
      </c>
      <c r="G101" t="inlineStr">
        <is>
          <t>OH</t>
        </is>
      </c>
      <c r="H101" t="inlineStr">
        <is>
          <t>Retail Power Marketer</t>
        </is>
      </c>
      <c r="I101" t="inlineStr">
        <is>
          <t>PJM</t>
        </is>
      </c>
      <c r="J101" t="n">
        <v>215</v>
      </c>
      <c r="K101" t="n">
        <v>1804</v>
      </c>
      <c r="L101" t="n">
        <v>235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215</v>
      </c>
      <c r="W101" t="n">
        <v>1804</v>
      </c>
      <c r="X101" t="n">
        <v>235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59811</v>
      </c>
      <c r="C102" t="inlineStr">
        <is>
          <t>Santanna Energy Services</t>
        </is>
      </c>
      <c r="D102" t="inlineStr">
        <is>
          <t>B</t>
        </is>
      </c>
      <c r="E102" t="inlineStr">
        <is>
          <t>Energy</t>
        </is>
      </c>
      <c r="F102" t="inlineStr">
        <is>
          <t>O</t>
        </is>
      </c>
      <c r="G102" t="inlineStr">
        <is>
          <t>OH</t>
        </is>
      </c>
      <c r="H102" t="inlineStr">
        <is>
          <t>Retail Power Marketer</t>
        </is>
      </c>
      <c r="I102" t="inlineStr">
        <is>
          <t>PJM</t>
        </is>
      </c>
      <c r="J102" t="n">
        <v>7685</v>
      </c>
      <c r="K102" t="n">
        <v>117126</v>
      </c>
      <c r="L102" t="n">
        <v>10533</v>
      </c>
      <c r="M102" t="n">
        <v>1742.1</v>
      </c>
      <c r="N102" t="n">
        <v>8940</v>
      </c>
      <c r="O102" t="n">
        <v>298</v>
      </c>
      <c r="P102" t="n">
        <v>0</v>
      </c>
      <c r="Q102" t="n">
        <v>0</v>
      </c>
      <c r="R102" t="n">
        <v>0</v>
      </c>
      <c r="S102" t="inlineStr">
        <is>
          <t>.</t>
        </is>
      </c>
      <c r="T102" t="n">
        <v>0</v>
      </c>
      <c r="U102" t="n">
        <v>0</v>
      </c>
      <c r="V102" t="n">
        <v>9427.1</v>
      </c>
      <c r="W102" t="n">
        <v>126066</v>
      </c>
      <c r="X102" t="n">
        <v>10831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59812</v>
      </c>
      <c r="C103" t="inlineStr">
        <is>
          <t>New Wave Energy Corporation</t>
        </is>
      </c>
      <c r="D103" t="inlineStr">
        <is>
          <t>B</t>
        </is>
      </c>
      <c r="E103" t="inlineStr">
        <is>
          <t>Energy</t>
        </is>
      </c>
      <c r="F103" t="inlineStr">
        <is>
          <t>O</t>
        </is>
      </c>
      <c r="G103" t="inlineStr">
        <is>
          <t>OH</t>
        </is>
      </c>
      <c r="H103" t="inlineStr">
        <is>
          <t>Retail Power Marketer</t>
        </is>
      </c>
      <c r="I103" t="inlineStr">
        <is>
          <t>PJM</t>
        </is>
      </c>
      <c r="J103" t="n">
        <v>1680</v>
      </c>
      <c r="K103" t="n">
        <v>20245</v>
      </c>
      <c r="L103" t="n">
        <v>1694</v>
      </c>
      <c r="M103" t="n">
        <v>3104</v>
      </c>
      <c r="N103" t="n">
        <v>35943</v>
      </c>
      <c r="O103" t="n">
        <v>730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4784</v>
      </c>
      <c r="W103" t="n">
        <v>56188</v>
      </c>
      <c r="X103" t="n">
        <v>2424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59848</v>
      </c>
      <c r="C104" t="inlineStr">
        <is>
          <t>ResCom Energy, LLC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OH</t>
        </is>
      </c>
      <c r="H104" t="inlineStr">
        <is>
          <t>Retail Power Marketer</t>
        </is>
      </c>
      <c r="I104" t="inlineStr">
        <is>
          <t>PJM</t>
        </is>
      </c>
      <c r="J104" t="n">
        <v>71</v>
      </c>
      <c r="K104" t="n">
        <v>1069</v>
      </c>
      <c r="L104" t="n">
        <v>142</v>
      </c>
      <c r="M104" t="inlineStr">
        <is>
          <t>.</t>
        </is>
      </c>
      <c r="N104" t="inlineStr">
        <is>
          <t>.</t>
        </is>
      </c>
      <c r="O104" t="inlineStr">
        <is>
          <t>.</t>
        </is>
      </c>
      <c r="P104" t="inlineStr">
        <is>
          <t>.</t>
        </is>
      </c>
      <c r="Q104" t="inlineStr">
        <is>
          <t>.</t>
        </is>
      </c>
      <c r="R104" t="inlineStr">
        <is>
          <t>.</t>
        </is>
      </c>
      <c r="S104" t="inlineStr">
        <is>
          <t>.</t>
        </is>
      </c>
      <c r="T104" t="inlineStr">
        <is>
          <t>.</t>
        </is>
      </c>
      <c r="U104" t="inlineStr">
        <is>
          <t>.</t>
        </is>
      </c>
      <c r="V104" t="n">
        <v>71</v>
      </c>
      <c r="W104" t="n">
        <v>1069</v>
      </c>
      <c r="X104" t="n">
        <v>142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59931</v>
      </c>
      <c r="C105" t="inlineStr">
        <is>
          <t>MidAmerican Energy Services, LLC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OH</t>
        </is>
      </c>
      <c r="H105" t="inlineStr">
        <is>
          <t>Retail Power Marketer</t>
        </is>
      </c>
      <c r="I105" t="inlineStr">
        <is>
          <t>PJM</t>
        </is>
      </c>
      <c r="J105" t="n">
        <v>151.9</v>
      </c>
      <c r="K105" t="n">
        <v>2608</v>
      </c>
      <c r="L105" t="n">
        <v>325</v>
      </c>
      <c r="M105" t="n">
        <v>15999.2</v>
      </c>
      <c r="N105" t="n">
        <v>268964</v>
      </c>
      <c r="O105" t="n">
        <v>1645</v>
      </c>
      <c r="P105" t="n">
        <v>13001.8</v>
      </c>
      <c r="Q105" t="n">
        <v>195767</v>
      </c>
      <c r="R105" t="n">
        <v>17</v>
      </c>
      <c r="S105" t="n">
        <v>0</v>
      </c>
      <c r="T105" t="n">
        <v>0</v>
      </c>
      <c r="U105" t="n">
        <v>0</v>
      </c>
      <c r="V105" t="n">
        <v>29152.9</v>
      </c>
      <c r="W105" t="n">
        <v>467339</v>
      </c>
      <c r="X105" t="n">
        <v>1987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59993</v>
      </c>
      <c r="C106" t="inlineStr">
        <is>
          <t>Discount Power Inc - (CT)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OH</t>
        </is>
      </c>
      <c r="H106" t="inlineStr">
        <is>
          <t>Retail Power Marketer</t>
        </is>
      </c>
      <c r="I106" t="inlineStr">
        <is>
          <t>PJM</t>
        </is>
      </c>
      <c r="J106" t="n">
        <v>1067.2</v>
      </c>
      <c r="K106" t="n">
        <v>9135</v>
      </c>
      <c r="L106" t="n">
        <v>1123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.</t>
        </is>
      </c>
      <c r="R106" t="n">
        <v>0</v>
      </c>
      <c r="S106" t="n">
        <v>0</v>
      </c>
      <c r="T106" t="n">
        <v>0</v>
      </c>
      <c r="U106" t="n">
        <v>0</v>
      </c>
      <c r="V106" t="n">
        <v>1067.2</v>
      </c>
      <c r="W106" t="n">
        <v>9135</v>
      </c>
      <c r="X106" t="n">
        <v>1123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60218</v>
      </c>
      <c r="C107" t="inlineStr">
        <is>
          <t>MPower Energy NJ LLC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OH</t>
        </is>
      </c>
      <c r="H107" t="inlineStr">
        <is>
          <t>Retail Power Marketer</t>
        </is>
      </c>
      <c r="I107" t="inlineStr">
        <is>
          <t>PJM</t>
        </is>
      </c>
      <c r="J107" t="n">
        <v>1556.4</v>
      </c>
      <c r="K107" t="n">
        <v>8480</v>
      </c>
      <c r="L107" t="n">
        <v>1314</v>
      </c>
      <c r="M107" t="n">
        <v>6.8</v>
      </c>
      <c r="N107" t="n">
        <v>54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1563.2</v>
      </c>
      <c r="W107" t="n">
        <v>8534</v>
      </c>
      <c r="X107" t="n">
        <v>1320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60579</v>
      </c>
      <c r="C108" t="inlineStr">
        <is>
          <t>SFE Energy Ohio, Inc.</t>
        </is>
      </c>
      <c r="D108" t="inlineStr">
        <is>
          <t>B</t>
        </is>
      </c>
      <c r="E108" t="inlineStr">
        <is>
          <t>Energy</t>
        </is>
      </c>
      <c r="F108" t="inlineStr">
        <is>
          <t>O</t>
        </is>
      </c>
      <c r="G108" t="inlineStr">
        <is>
          <t>OH</t>
        </is>
      </c>
      <c r="H108" t="inlineStr">
        <is>
          <t>Retail Power Marketer</t>
        </is>
      </c>
      <c r="I108" t="inlineStr">
        <is>
          <t>PJM</t>
        </is>
      </c>
      <c r="J108" t="n">
        <v>3713.8</v>
      </c>
      <c r="K108" t="n">
        <v>49314</v>
      </c>
      <c r="L108" t="n">
        <v>6743</v>
      </c>
      <c r="M108" t="n">
        <v>3698.7</v>
      </c>
      <c r="N108" t="n">
        <v>49101</v>
      </c>
      <c r="O108" t="n">
        <v>1480</v>
      </c>
      <c r="P108" t="inlineStr">
        <is>
          <t>.</t>
        </is>
      </c>
      <c r="Q108" t="inlineStr">
        <is>
          <t>.</t>
        </is>
      </c>
      <c r="R108" t="inlineStr">
        <is>
          <t>.</t>
        </is>
      </c>
      <c r="S108" t="inlineStr">
        <is>
          <t>.</t>
        </is>
      </c>
      <c r="T108" t="inlineStr">
        <is>
          <t>.</t>
        </is>
      </c>
      <c r="U108" t="inlineStr">
        <is>
          <t>.</t>
        </is>
      </c>
      <c r="V108" t="n">
        <v>7412.5</v>
      </c>
      <c r="W108" t="n">
        <v>98415</v>
      </c>
      <c r="X108" t="n">
        <v>8223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60583</v>
      </c>
      <c r="C109" t="inlineStr">
        <is>
          <t>Atlantic Energy LLC</t>
        </is>
      </c>
      <c r="D109" t="inlineStr">
        <is>
          <t>B</t>
        </is>
      </c>
      <c r="E109" t="inlineStr">
        <is>
          <t>Energy</t>
        </is>
      </c>
      <c r="F109" t="inlineStr">
        <is>
          <t>O</t>
        </is>
      </c>
      <c r="G109" t="inlineStr">
        <is>
          <t>OH</t>
        </is>
      </c>
      <c r="H109" t="inlineStr">
        <is>
          <t>Retail Power Marketer</t>
        </is>
      </c>
      <c r="I109" t="inlineStr">
        <is>
          <t>PJM</t>
        </is>
      </c>
      <c r="J109" t="n">
        <v>1349.4</v>
      </c>
      <c r="K109" t="n">
        <v>11870</v>
      </c>
      <c r="L109" t="n">
        <v>1650</v>
      </c>
      <c r="M109" t="n">
        <v>153</v>
      </c>
      <c r="N109" t="n">
        <v>810</v>
      </c>
      <c r="O109" t="n">
        <v>17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1502.4</v>
      </c>
      <c r="W109" t="n">
        <v>12680</v>
      </c>
      <c r="X109" t="n">
        <v>1667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60696</v>
      </c>
      <c r="C110" t="inlineStr">
        <is>
          <t>Vista Energy Marketing, L.P.</t>
        </is>
      </c>
      <c r="D110" t="inlineStr">
        <is>
          <t>B</t>
        </is>
      </c>
      <c r="E110" t="inlineStr">
        <is>
          <t>Energy</t>
        </is>
      </c>
      <c r="F110" t="inlineStr">
        <is>
          <t>O</t>
        </is>
      </c>
      <c r="G110" t="inlineStr">
        <is>
          <t>OH</t>
        </is>
      </c>
      <c r="H110" t="inlineStr">
        <is>
          <t>Retail Power Marketer</t>
        </is>
      </c>
      <c r="I110" t="inlineStr">
        <is>
          <t>PJM</t>
        </is>
      </c>
      <c r="J110" t="n">
        <v>2304.7</v>
      </c>
      <c r="K110" t="n">
        <v>15853</v>
      </c>
      <c r="L110" t="n">
        <v>2433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2304.7</v>
      </c>
      <c r="W110" t="n">
        <v>15853</v>
      </c>
      <c r="X110" t="n">
        <v>2433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60914</v>
      </c>
      <c r="C111" t="inlineStr">
        <is>
          <t>Current Power &amp; Gas Inc.</t>
        </is>
      </c>
      <c r="D111" t="inlineStr">
        <is>
          <t>B</t>
        </is>
      </c>
      <c r="E111" t="inlineStr">
        <is>
          <t>Energy</t>
        </is>
      </c>
      <c r="F111" t="inlineStr">
        <is>
          <t>O</t>
        </is>
      </c>
      <c r="G111" t="inlineStr">
        <is>
          <t>OH</t>
        </is>
      </c>
      <c r="H111" t="inlineStr">
        <is>
          <t>Retail Power Marketer</t>
        </is>
      </c>
      <c r="I111" t="inlineStr">
        <is>
          <t>PJM</t>
        </is>
      </c>
      <c r="J111" t="n">
        <v>58.8</v>
      </c>
      <c r="K111" t="n">
        <v>870</v>
      </c>
      <c r="L111" t="n">
        <v>121</v>
      </c>
      <c r="M111" t="n">
        <v>2395.7</v>
      </c>
      <c r="N111" t="n">
        <v>38309</v>
      </c>
      <c r="O111" t="n">
        <v>3410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2454.5</v>
      </c>
      <c r="W111" t="n">
        <v>39179</v>
      </c>
      <c r="X111" t="n">
        <v>3531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60977</v>
      </c>
      <c r="C112" t="inlineStr">
        <is>
          <t>StateWise Energy Ohio LLC</t>
        </is>
      </c>
      <c r="D112" t="inlineStr">
        <is>
          <t>B</t>
        </is>
      </c>
      <c r="E112" t="inlineStr">
        <is>
          <t>Energy</t>
        </is>
      </c>
      <c r="F112" t="inlineStr">
        <is>
          <t>O</t>
        </is>
      </c>
      <c r="G112" t="inlineStr">
        <is>
          <t>OH</t>
        </is>
      </c>
      <c r="H112" t="inlineStr">
        <is>
          <t>Retail Power Marketer</t>
        </is>
      </c>
      <c r="I112" t="inlineStr">
        <is>
          <t>PJM</t>
        </is>
      </c>
      <c r="J112" t="n">
        <v>1770.7</v>
      </c>
      <c r="K112" t="n">
        <v>25444</v>
      </c>
      <c r="L112" t="n">
        <v>2874</v>
      </c>
      <c r="M112" t="n">
        <v>6.3</v>
      </c>
      <c r="N112" t="n">
        <v>90</v>
      </c>
      <c r="O112" t="n">
        <v>5</v>
      </c>
      <c r="P112" t="inlineStr">
        <is>
          <t>.</t>
        </is>
      </c>
      <c r="Q112" t="inlineStr">
        <is>
          <t>.</t>
        </is>
      </c>
      <c r="R112" t="inlineStr">
        <is>
          <t>.</t>
        </is>
      </c>
      <c r="S112" t="inlineStr">
        <is>
          <t>.</t>
        </is>
      </c>
      <c r="T112" t="inlineStr">
        <is>
          <t>.</t>
        </is>
      </c>
      <c r="U112" t="inlineStr">
        <is>
          <t>.</t>
        </is>
      </c>
      <c r="V112" t="n">
        <v>1777</v>
      </c>
      <c r="W112" t="n">
        <v>25534</v>
      </c>
      <c r="X112" t="n">
        <v>2879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61059</v>
      </c>
      <c r="C113" t="inlineStr">
        <is>
          <t>Renaissance Power &amp; Gas, Inc.</t>
        </is>
      </c>
      <c r="D113" t="inlineStr">
        <is>
          <t>B</t>
        </is>
      </c>
      <c r="E113" t="inlineStr">
        <is>
          <t>Energy</t>
        </is>
      </c>
      <c r="F113" t="inlineStr">
        <is>
          <t>O</t>
        </is>
      </c>
      <c r="G113" t="inlineStr">
        <is>
          <t>OH</t>
        </is>
      </c>
      <c r="H113" t="inlineStr">
        <is>
          <t>Retail Power Marketer</t>
        </is>
      </c>
      <c r="I113" t="inlineStr">
        <is>
          <t>PJM</t>
        </is>
      </c>
      <c r="J113" t="n">
        <v>147.3</v>
      </c>
      <c r="K113" t="n">
        <v>1373</v>
      </c>
      <c r="L113" t="n">
        <v>359</v>
      </c>
      <c r="M113" t="n">
        <v>17.7</v>
      </c>
      <c r="N113" t="n">
        <v>196</v>
      </c>
      <c r="O113" t="n">
        <v>19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165</v>
      </c>
      <c r="W113" t="n">
        <v>1569</v>
      </c>
      <c r="X113" t="n">
        <v>378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61131</v>
      </c>
      <c r="C114" t="inlineStr">
        <is>
          <t>Freepoint Energy Solutions LLC</t>
        </is>
      </c>
      <c r="D114" t="inlineStr">
        <is>
          <t>B</t>
        </is>
      </c>
      <c r="E114" t="inlineStr">
        <is>
          <t>Energy</t>
        </is>
      </c>
      <c r="F114" t="inlineStr">
        <is>
          <t>O</t>
        </is>
      </c>
      <c r="G114" t="inlineStr">
        <is>
          <t>OH</t>
        </is>
      </c>
      <c r="H114" t="inlineStr">
        <is>
          <t>Retail Power Marketer</t>
        </is>
      </c>
      <c r="I114" t="inlineStr">
        <is>
          <t>PJM</t>
        </is>
      </c>
      <c r="J114" t="n">
        <v>0</v>
      </c>
      <c r="K114" t="n">
        <v>0</v>
      </c>
      <c r="L114" t="n">
        <v>0</v>
      </c>
      <c r="M114" t="n">
        <v>195786</v>
      </c>
      <c r="N114" t="n">
        <v>3463543</v>
      </c>
      <c r="O114" t="n">
        <v>4607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195786</v>
      </c>
      <c r="W114" t="n">
        <v>3463543</v>
      </c>
      <c r="X114" t="n">
        <v>4607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61367</v>
      </c>
      <c r="C115" t="inlineStr">
        <is>
          <t>South Bay Energy Corp.</t>
        </is>
      </c>
      <c r="D115" t="inlineStr">
        <is>
          <t>B</t>
        </is>
      </c>
      <c r="E115" t="inlineStr">
        <is>
          <t>Energy</t>
        </is>
      </c>
      <c r="F115" t="inlineStr">
        <is>
          <t>O</t>
        </is>
      </c>
      <c r="G115" t="inlineStr">
        <is>
          <t>OH</t>
        </is>
      </c>
      <c r="H115" t="inlineStr">
        <is>
          <t>Retail Power Marketer</t>
        </is>
      </c>
      <c r="I115" t="inlineStr">
        <is>
          <t>PJM</t>
        </is>
      </c>
      <c r="J115" t="n">
        <v>94</v>
      </c>
      <c r="K115" t="n">
        <v>718</v>
      </c>
      <c r="L115" t="n">
        <v>95</v>
      </c>
      <c r="M115" t="n">
        <v>148</v>
      </c>
      <c r="N115" t="n">
        <v>1210</v>
      </c>
      <c r="O115" t="n">
        <v>114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242</v>
      </c>
      <c r="W115" t="n">
        <v>1928</v>
      </c>
      <c r="X115" t="n">
        <v>209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61479</v>
      </c>
      <c r="C116" t="inlineStr">
        <is>
          <t>Stream Ohio Gas &amp; Electric, LLC</t>
        </is>
      </c>
      <c r="D116" t="inlineStr">
        <is>
          <t>B</t>
        </is>
      </c>
      <c r="E116" t="inlineStr">
        <is>
          <t>Energy</t>
        </is>
      </c>
      <c r="F116" t="inlineStr">
        <is>
          <t>O</t>
        </is>
      </c>
      <c r="G116" t="inlineStr">
        <is>
          <t>OH</t>
        </is>
      </c>
      <c r="H116" t="inlineStr">
        <is>
          <t>Retail Power Marketer</t>
        </is>
      </c>
      <c r="I116" t="inlineStr">
        <is>
          <t>PJM</t>
        </is>
      </c>
      <c r="J116" t="n">
        <v>1022.2</v>
      </c>
      <c r="K116" t="n">
        <v>8925</v>
      </c>
      <c r="L116" t="n">
        <v>848</v>
      </c>
      <c r="M116" t="n">
        <v>108.5</v>
      </c>
      <c r="N116" t="n">
        <v>1021</v>
      </c>
      <c r="O116" t="n">
        <v>60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1130.7</v>
      </c>
      <c r="W116" t="n">
        <v>9946</v>
      </c>
      <c r="X116" t="n">
        <v>908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61920</v>
      </c>
      <c r="C117" t="inlineStr">
        <is>
          <t>All American Power and Gas, LLC</t>
        </is>
      </c>
      <c r="D117" t="inlineStr">
        <is>
          <t>B</t>
        </is>
      </c>
      <c r="E117" t="inlineStr">
        <is>
          <t>Energy</t>
        </is>
      </c>
      <c r="F117" t="inlineStr">
        <is>
          <t>O</t>
        </is>
      </c>
      <c r="G117" t="inlineStr">
        <is>
          <t>OH</t>
        </is>
      </c>
      <c r="H117" t="inlineStr">
        <is>
          <t>Retail Power Marketer</t>
        </is>
      </c>
      <c r="I117" t="inlineStr">
        <is>
          <t>PJM</t>
        </is>
      </c>
      <c r="J117" t="n">
        <v>23.1</v>
      </c>
      <c r="K117" t="n">
        <v>83</v>
      </c>
      <c r="L117" t="n">
        <v>15</v>
      </c>
      <c r="M117" t="n">
        <v>2.6</v>
      </c>
      <c r="N117" t="n">
        <v>9</v>
      </c>
      <c r="O117" t="n">
        <v>1</v>
      </c>
      <c r="P117" t="inlineStr">
        <is>
          <t>.</t>
        </is>
      </c>
      <c r="Q117" t="inlineStr">
        <is>
          <t>.</t>
        </is>
      </c>
      <c r="R117" t="inlineStr">
        <is>
          <t>.</t>
        </is>
      </c>
      <c r="S117" t="inlineStr">
        <is>
          <t>.</t>
        </is>
      </c>
      <c r="T117" t="inlineStr">
        <is>
          <t>.</t>
        </is>
      </c>
      <c r="U117" t="inlineStr">
        <is>
          <t>.</t>
        </is>
      </c>
      <c r="V117" t="n">
        <v>25.7</v>
      </c>
      <c r="W117" t="n">
        <v>92</v>
      </c>
      <c r="X117" t="n">
        <v>16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61922</v>
      </c>
      <c r="C118" t="inlineStr">
        <is>
          <t>Pure Energy USA, LLC</t>
        </is>
      </c>
      <c r="D118" t="inlineStr">
        <is>
          <t>B</t>
        </is>
      </c>
      <c r="E118" t="inlineStr">
        <is>
          <t>Energy</t>
        </is>
      </c>
      <c r="F118" t="inlineStr">
        <is>
          <t>O</t>
        </is>
      </c>
      <c r="G118" t="inlineStr">
        <is>
          <t>OH</t>
        </is>
      </c>
      <c r="H118" t="inlineStr">
        <is>
          <t>Retail Power Marketer</t>
        </is>
      </c>
      <c r="I118" t="inlineStr">
        <is>
          <t>PJM</t>
        </is>
      </c>
      <c r="J118" t="n">
        <v>340.2</v>
      </c>
      <c r="K118" t="n">
        <v>1221</v>
      </c>
      <c r="L118" t="n">
        <v>153</v>
      </c>
      <c r="M118" t="n">
        <v>73</v>
      </c>
      <c r="N118" t="n">
        <v>261</v>
      </c>
      <c r="O118" t="n">
        <v>11</v>
      </c>
      <c r="P118" t="inlineStr">
        <is>
          <t>.</t>
        </is>
      </c>
      <c r="Q118" t="inlineStr">
        <is>
          <t>.</t>
        </is>
      </c>
      <c r="R118" t="inlineStr">
        <is>
          <t>.</t>
        </is>
      </c>
      <c r="S118" t="inlineStr">
        <is>
          <t>.</t>
        </is>
      </c>
      <c r="T118" t="inlineStr">
        <is>
          <t>.</t>
        </is>
      </c>
      <c r="U118" t="inlineStr">
        <is>
          <t>.</t>
        </is>
      </c>
      <c r="V118" t="n">
        <v>413.2</v>
      </c>
      <c r="W118" t="n">
        <v>1482</v>
      </c>
      <c r="X118" t="n">
        <v>164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61972</v>
      </c>
      <c r="C119" t="inlineStr">
        <is>
          <t>SunSea Energy, LLC</t>
        </is>
      </c>
      <c r="D119" t="inlineStr">
        <is>
          <t>B</t>
        </is>
      </c>
      <c r="E119" t="inlineStr">
        <is>
          <t>Energy</t>
        </is>
      </c>
      <c r="F119" t="inlineStr">
        <is>
          <t>O</t>
        </is>
      </c>
      <c r="G119" t="inlineStr">
        <is>
          <t>OH</t>
        </is>
      </c>
      <c r="H119" t="inlineStr">
        <is>
          <t>Retail Power Marketer</t>
        </is>
      </c>
      <c r="I119" t="inlineStr">
        <is>
          <t>PJM</t>
        </is>
      </c>
      <c r="J119" t="n">
        <v>1794.5</v>
      </c>
      <c r="K119" t="n">
        <v>10600</v>
      </c>
      <c r="L119" t="n">
        <v>1641</v>
      </c>
      <c r="M119" t="n">
        <v>13</v>
      </c>
      <c r="N119" t="n">
        <v>72</v>
      </c>
      <c r="O119" t="n">
        <v>11</v>
      </c>
      <c r="P119" t="inlineStr">
        <is>
          <t>.</t>
        </is>
      </c>
      <c r="Q119" t="inlineStr">
        <is>
          <t>.</t>
        </is>
      </c>
      <c r="R119" t="inlineStr">
        <is>
          <t>.</t>
        </is>
      </c>
      <c r="S119" t="inlineStr">
        <is>
          <t>.</t>
        </is>
      </c>
      <c r="T119" t="inlineStr">
        <is>
          <t>.</t>
        </is>
      </c>
      <c r="U119" t="inlineStr">
        <is>
          <t>.</t>
        </is>
      </c>
      <c r="V119" t="n">
        <v>1807.5</v>
      </c>
      <c r="W119" t="n">
        <v>10672</v>
      </c>
      <c r="X119" t="n">
        <v>1652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62148</v>
      </c>
      <c r="C120" t="inlineStr">
        <is>
          <t>Powervine Energy</t>
        </is>
      </c>
      <c r="D120" t="inlineStr">
        <is>
          <t>B</t>
        </is>
      </c>
      <c r="E120" t="inlineStr">
        <is>
          <t>Energy</t>
        </is>
      </c>
      <c r="F120" t="inlineStr">
        <is>
          <t>O</t>
        </is>
      </c>
      <c r="G120" t="inlineStr">
        <is>
          <t>OH</t>
        </is>
      </c>
      <c r="H120" t="inlineStr">
        <is>
          <t>Retail Power Marketer</t>
        </is>
      </c>
      <c r="I120" t="inlineStr">
        <is>
          <t>PJM</t>
        </is>
      </c>
      <c r="J120" t="n">
        <v>1164.6</v>
      </c>
      <c r="K120" t="n">
        <v>16489</v>
      </c>
      <c r="L120" t="n">
        <v>1138</v>
      </c>
      <c r="M120" t="n">
        <v>38.4</v>
      </c>
      <c r="N120" t="n">
        <v>558</v>
      </c>
      <c r="O120" t="n">
        <v>23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1203</v>
      </c>
      <c r="W120" t="n">
        <v>17047</v>
      </c>
      <c r="X120" t="n">
        <v>1161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62790</v>
      </c>
      <c r="C121" t="inlineStr">
        <is>
          <t>Summer Energy Midwest, LLC</t>
        </is>
      </c>
      <c r="D121" t="inlineStr">
        <is>
          <t>B</t>
        </is>
      </c>
      <c r="E121" t="inlineStr">
        <is>
          <t>Energy</t>
        </is>
      </c>
      <c r="F121" t="inlineStr">
        <is>
          <t>O</t>
        </is>
      </c>
      <c r="G121" t="inlineStr">
        <is>
          <t>OH</t>
        </is>
      </c>
      <c r="H121" t="inlineStr">
        <is>
          <t>Retail Power Marketer</t>
        </is>
      </c>
      <c r="I121" t="inlineStr">
        <is>
          <t>PJM</t>
        </is>
      </c>
      <c r="J121" t="n">
        <v>89</v>
      </c>
      <c r="K121" t="n">
        <v>971</v>
      </c>
      <c r="L121" t="n">
        <v>99</v>
      </c>
      <c r="M121" t="n">
        <v>12222.5</v>
      </c>
      <c r="N121" t="n">
        <v>180302</v>
      </c>
      <c r="O121" t="n">
        <v>1047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12311.5</v>
      </c>
      <c r="W121" t="n">
        <v>181273</v>
      </c>
      <c r="X121" t="n">
        <v>1146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63008</v>
      </c>
      <c r="C122" t="inlineStr">
        <is>
          <t>Agressive Energy LLC</t>
        </is>
      </c>
      <c r="D122" t="inlineStr">
        <is>
          <t>B</t>
        </is>
      </c>
      <c r="E122" t="inlineStr">
        <is>
          <t>Energy</t>
        </is>
      </c>
      <c r="F122" t="inlineStr">
        <is>
          <t>O</t>
        </is>
      </c>
      <c r="G122" t="inlineStr">
        <is>
          <t>OH</t>
        </is>
      </c>
      <c r="H122" t="inlineStr">
        <is>
          <t>Retail Power Marketer</t>
        </is>
      </c>
      <c r="I122" t="inlineStr">
        <is>
          <t>PJM</t>
        </is>
      </c>
      <c r="J122" t="n">
        <v>0</v>
      </c>
      <c r="K122" t="n">
        <v>0</v>
      </c>
      <c r="L122" t="n">
        <v>0</v>
      </c>
      <c r="M122" t="n">
        <v>2689.8</v>
      </c>
      <c r="N122" t="n">
        <v>41788</v>
      </c>
      <c r="O122" t="n">
        <v>147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2689.8</v>
      </c>
      <c r="W122" t="n">
        <v>41788</v>
      </c>
      <c r="X122" t="n">
        <v>147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  <row r="123">
      <c r="A123" t="n">
        <v>2024</v>
      </c>
      <c r="B123" t="n">
        <v>63122</v>
      </c>
      <c r="C123" t="inlineStr">
        <is>
          <t>Approved Energy II, LLC</t>
        </is>
      </c>
      <c r="D123" t="inlineStr">
        <is>
          <t>B</t>
        </is>
      </c>
      <c r="E123" t="inlineStr">
        <is>
          <t>Energy</t>
        </is>
      </c>
      <c r="F123" t="inlineStr">
        <is>
          <t>O</t>
        </is>
      </c>
      <c r="G123" t="inlineStr">
        <is>
          <t>OH</t>
        </is>
      </c>
      <c r="H123" t="inlineStr">
        <is>
          <t>Retail Power Marketer</t>
        </is>
      </c>
      <c r="I123" t="inlineStr">
        <is>
          <t>PJM</t>
        </is>
      </c>
      <c r="J123" t="n">
        <v>0</v>
      </c>
      <c r="K123" t="n">
        <v>0</v>
      </c>
      <c r="L123" t="n">
        <v>0</v>
      </c>
      <c r="M123" t="n">
        <v>49.7</v>
      </c>
      <c r="N123" t="n">
        <v>788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49.7</v>
      </c>
      <c r="W123" t="n">
        <v>788</v>
      </c>
      <c r="X123" t="n">
        <v>1</v>
      </c>
      <c r="Y123">
        <f>IF(ISNUMBER($W123),$W123,0)</f>
        <v/>
      </c>
      <c r="Z123">
        <f>IF(ISNUMBER(SEARCH("Adjustment",$C123)),"excluded",IF($H123="Behind the Meter","excluded",IF(NOT(OR($E123="Bundled",$E123="Energy")),"excluded",IF(OR($H123="Retail Power Marketer",$H123="Community Choice Aggregator",$E123="Energy"),"procurement",IF(OR($H123="Municipal",$H123="Cooperative",$H123="Federal",$H123="State",$H123="Political Subdivision"),"cost_service",IF($H123="Investor Owned",IF(AND(COUNTIF(Parameters!$A$4:$A$33,$G123)&gt;0,COUNTIF(Parameters!$B$4:$B$33,$B123)=0),"procurement","cost_service"),"unclassified"))))))</f>
        <v/>
      </c>
    </row>
    <row r="124">
      <c r="A124" t="n">
        <v>2024</v>
      </c>
      <c r="B124" t="n">
        <v>63168</v>
      </c>
      <c r="C124" t="inlineStr">
        <is>
          <t>Median Energy Corp.</t>
        </is>
      </c>
      <c r="D124" t="inlineStr">
        <is>
          <t>B</t>
        </is>
      </c>
      <c r="E124" t="inlineStr">
        <is>
          <t>Energy</t>
        </is>
      </c>
      <c r="F124" t="inlineStr">
        <is>
          <t>O</t>
        </is>
      </c>
      <c r="G124" t="inlineStr">
        <is>
          <t>OH</t>
        </is>
      </c>
      <c r="H124" t="inlineStr">
        <is>
          <t>Retail Power Marketer</t>
        </is>
      </c>
      <c r="I124" t="inlineStr">
        <is>
          <t>PJM</t>
        </is>
      </c>
      <c r="J124" t="n">
        <v>500.8</v>
      </c>
      <c r="K124" t="n">
        <v>3933</v>
      </c>
      <c r="L124" t="n">
        <v>565</v>
      </c>
      <c r="M124" t="n">
        <v>0.1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500.9</v>
      </c>
      <c r="W124" t="n">
        <v>3934</v>
      </c>
      <c r="X124" t="n">
        <v>566</v>
      </c>
      <c r="Y124">
        <f>IF(ISNUMBER($W124),$W124,0)</f>
        <v/>
      </c>
      <c r="Z124">
        <f>IF(ISNUMBER(SEARCH("Adjustment",$C124)),"excluded",IF($H124="Behind the Meter","excluded",IF(NOT(OR($E124="Bundled",$E124="Energy")),"excluded",IF(OR($H124="Retail Power Marketer",$H124="Community Choice Aggregator",$E124="Energy"),"procurement",IF(OR($H124="Municipal",$H124="Cooperative",$H124="Federal",$H124="State",$H124="Political Subdivision"),"cost_service",IF($H124="Investor Owned",IF(AND(COUNTIF(Parameters!$A$4:$A$33,$G124)&gt;0,COUNTIF(Parameters!$B$4:$B$33,$B124)=0),"procurement","cost_service"),"unclassified"))))))</f>
        <v/>
      </c>
    </row>
    <row r="125">
      <c r="A125" t="n">
        <v>2024</v>
      </c>
      <c r="B125" t="n">
        <v>63232</v>
      </c>
      <c r="C125" t="inlineStr">
        <is>
          <t>National Gas &amp; Electric, LLC</t>
        </is>
      </c>
      <c r="D125" t="inlineStr">
        <is>
          <t>B</t>
        </is>
      </c>
      <c r="E125" t="inlineStr">
        <is>
          <t>Energy</t>
        </is>
      </c>
      <c r="F125" t="inlineStr">
        <is>
          <t>O</t>
        </is>
      </c>
      <c r="G125" t="inlineStr">
        <is>
          <t>OH</t>
        </is>
      </c>
      <c r="H125" t="inlineStr">
        <is>
          <t>Retail Power Marketer</t>
        </is>
      </c>
      <c r="I125" t="inlineStr">
        <is>
          <t>PJM</t>
        </is>
      </c>
      <c r="J125" t="n">
        <v>1947</v>
      </c>
      <c r="K125" t="n">
        <v>18170</v>
      </c>
      <c r="L125" t="n">
        <v>1832</v>
      </c>
      <c r="M125" t="n">
        <v>0.1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1947.1</v>
      </c>
      <c r="W125" t="n">
        <v>18171</v>
      </c>
      <c r="X125" t="n">
        <v>1833</v>
      </c>
      <c r="Y125">
        <f>IF(ISNUMBER($W125),$W125,0)</f>
        <v/>
      </c>
      <c r="Z125">
        <f>IF(ISNUMBER(SEARCH("Adjustment",$C125)),"excluded",IF($H125="Behind the Meter","excluded",IF(NOT(OR($E125="Bundled",$E125="Energy")),"excluded",IF(OR($H125="Retail Power Marketer",$H125="Community Choice Aggregator",$E125="Energy"),"procurement",IF(OR($H125="Municipal",$H125="Cooperative",$H125="Federal",$H125="State",$H125="Political Subdivision"),"cost_service",IF($H125="Investor Owned",IF(AND(COUNTIF(Parameters!$A$4:$A$33,$G125)&gt;0,COUNTIF(Parameters!$B$4:$B$33,$B125)=0),"procurement","cost_service"),"unclassified"))))))</f>
        <v/>
      </c>
    </row>
    <row r="126">
      <c r="A126" t="n">
        <v>2024</v>
      </c>
      <c r="B126" t="n">
        <v>63356</v>
      </c>
      <c r="C126" t="inlineStr">
        <is>
          <t>SmartestEnergy US LLC</t>
        </is>
      </c>
      <c r="D126" t="inlineStr">
        <is>
          <t>B</t>
        </is>
      </c>
      <c r="E126" t="inlineStr">
        <is>
          <t>Energy</t>
        </is>
      </c>
      <c r="F126" t="inlineStr">
        <is>
          <t>O</t>
        </is>
      </c>
      <c r="G126" t="inlineStr">
        <is>
          <t>OH</t>
        </is>
      </c>
      <c r="H126" t="inlineStr">
        <is>
          <t>Retail Power Marketer</t>
        </is>
      </c>
      <c r="I126" t="inlineStr">
        <is>
          <t>PJM</t>
        </is>
      </c>
      <c r="J126" t="n">
        <v>0</v>
      </c>
      <c r="K126" t="n">
        <v>0</v>
      </c>
      <c r="L126" t="n">
        <v>0</v>
      </c>
      <c r="M126" t="n">
        <v>30760</v>
      </c>
      <c r="N126" t="n">
        <v>506075</v>
      </c>
      <c r="O126" t="n">
        <v>402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30760</v>
      </c>
      <c r="W126" t="n">
        <v>506075</v>
      </c>
      <c r="X126" t="n">
        <v>402</v>
      </c>
      <c r="Y126">
        <f>IF(ISNUMBER($W126),$W126,0)</f>
        <v/>
      </c>
      <c r="Z126">
        <f>IF(ISNUMBER(SEARCH("Adjustment",$C126)),"excluded",IF($H126="Behind the Meter","excluded",IF(NOT(OR($E126="Bundled",$E126="Energy")),"excluded",IF(OR($H126="Retail Power Marketer",$H126="Community Choice Aggregator",$E126="Energy"),"procurement",IF(OR($H126="Municipal",$H126="Cooperative",$H126="Federal",$H126="State",$H126="Political Subdivision"),"cost_service",IF($H126="Investor Owned",IF(AND(COUNTIF(Parameters!$A$4:$A$33,$G126)&gt;0,COUNTIF(Parameters!$B$4:$B$33,$B126)=0),"procurement","cost_service"),"unclassified"))))))</f>
        <v/>
      </c>
    </row>
    <row r="127">
      <c r="A127" t="n">
        <v>2024</v>
      </c>
      <c r="B127" t="n">
        <v>63546</v>
      </c>
      <c r="C127" t="inlineStr">
        <is>
          <t>Provision Power &amp; Gas, LLC</t>
        </is>
      </c>
      <c r="D127" t="inlineStr">
        <is>
          <t>B</t>
        </is>
      </c>
      <c r="E127" t="inlineStr">
        <is>
          <t>Energy</t>
        </is>
      </c>
      <c r="F127" t="inlineStr">
        <is>
          <t>O</t>
        </is>
      </c>
      <c r="G127" t="inlineStr">
        <is>
          <t>OH</t>
        </is>
      </c>
      <c r="H127" t="inlineStr">
        <is>
          <t>Retail Power Marketer</t>
        </is>
      </c>
      <c r="I127" t="inlineStr">
        <is>
          <t>PJM</t>
        </is>
      </c>
      <c r="J127" t="n">
        <v>6435.8</v>
      </c>
      <c r="K127" t="n">
        <v>65153</v>
      </c>
      <c r="L127" t="n">
        <v>8165</v>
      </c>
      <c r="M127" t="n">
        <v>137.4</v>
      </c>
      <c r="N127" t="n">
        <v>1332</v>
      </c>
      <c r="O127" t="n">
        <v>111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6573.2</v>
      </c>
      <c r="W127" t="n">
        <v>66485</v>
      </c>
      <c r="X127" t="n">
        <v>8276</v>
      </c>
      <c r="Y127">
        <f>IF(ISNUMBER($W127),$W127,0)</f>
        <v/>
      </c>
      <c r="Z127">
        <f>IF(ISNUMBER(SEARCH("Adjustment",$C127)),"excluded",IF($H127="Behind the Meter","excluded",IF(NOT(OR($E127="Bundled",$E127="Energy")),"excluded",IF(OR($H127="Retail Power Marketer",$H127="Community Choice Aggregator",$E127="Energy"),"procurement",IF(OR($H127="Municipal",$H127="Cooperative",$H127="Federal",$H127="State",$H127="Political Subdivision"),"cost_service",IF($H127="Investor Owned",IF(AND(COUNTIF(Parameters!$A$4:$A$33,$G127)&gt;0,COUNTIF(Parameters!$B$4:$B$33,$B127)=0),"procurement","cost_service"),"unclassified"))))))</f>
        <v/>
      </c>
    </row>
    <row r="128">
      <c r="A128" t="n">
        <v>2024</v>
      </c>
      <c r="B128" t="n">
        <v>63695</v>
      </c>
      <c r="C128" t="inlineStr">
        <is>
          <t>RPA Energy, Inc.</t>
        </is>
      </c>
      <c r="D128" t="inlineStr">
        <is>
          <t>B</t>
        </is>
      </c>
      <c r="E128" t="inlineStr">
        <is>
          <t>Energy</t>
        </is>
      </c>
      <c r="F128" t="inlineStr">
        <is>
          <t>O</t>
        </is>
      </c>
      <c r="G128" t="inlineStr">
        <is>
          <t>OH</t>
        </is>
      </c>
      <c r="H128" t="inlineStr">
        <is>
          <t>Retail Power Marketer</t>
        </is>
      </c>
      <c r="I128" t="inlineStr">
        <is>
          <t>PJM</t>
        </is>
      </c>
      <c r="J128" t="n">
        <v>76.90000000000001</v>
      </c>
      <c r="K128" t="n">
        <v>471</v>
      </c>
      <c r="L128" t="n">
        <v>662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76.90000000000001</v>
      </c>
      <c r="W128" t="n">
        <v>471</v>
      </c>
      <c r="X128" t="n">
        <v>662</v>
      </c>
      <c r="Y128">
        <f>IF(ISNUMBER($W128),$W128,0)</f>
        <v/>
      </c>
      <c r="Z128">
        <f>IF(ISNUMBER(SEARCH("Adjustment",$C128)),"excluded",IF($H128="Behind the Meter","excluded",IF(NOT(OR($E128="Bundled",$E128="Energy")),"excluded",IF(OR($H128="Retail Power Marketer",$H128="Community Choice Aggregator",$E128="Energy"),"procurement",IF(OR($H128="Municipal",$H128="Cooperative",$H128="Federal",$H128="State",$H128="Political Subdivision"),"cost_service",IF($H128="Investor Owned",IF(AND(COUNTIF(Parameters!$A$4:$A$33,$G128)&gt;0,COUNTIF(Parameters!$B$4:$B$33,$B128)=0),"procurement","cost_service"),"unclassified"))))))</f>
        <v/>
      </c>
    </row>
    <row r="129">
      <c r="A129" t="n">
        <v>2024</v>
      </c>
      <c r="B129" t="n">
        <v>64222</v>
      </c>
      <c r="C129" t="inlineStr">
        <is>
          <t>Grid Power Direct, LLC</t>
        </is>
      </c>
      <c r="D129" t="inlineStr">
        <is>
          <t>B</t>
        </is>
      </c>
      <c r="E129" t="inlineStr">
        <is>
          <t>Energy</t>
        </is>
      </c>
      <c r="F129" t="inlineStr">
        <is>
          <t>O</t>
        </is>
      </c>
      <c r="G129" t="inlineStr">
        <is>
          <t>OH</t>
        </is>
      </c>
      <c r="H129" t="inlineStr">
        <is>
          <t>Retail Power Marketer</t>
        </is>
      </c>
      <c r="I129" t="inlineStr">
        <is>
          <t>PJM</t>
        </is>
      </c>
      <c r="J129" t="n">
        <v>0</v>
      </c>
      <c r="K129" t="n">
        <v>0</v>
      </c>
      <c r="L129" t="n">
        <v>0</v>
      </c>
      <c r="M129" t="n">
        <v>3671</v>
      </c>
      <c r="N129" t="n">
        <v>57605</v>
      </c>
      <c r="O129" t="n">
        <v>38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3671</v>
      </c>
      <c r="W129" t="n">
        <v>57605</v>
      </c>
      <c r="X129" t="n">
        <v>38</v>
      </c>
      <c r="Y129">
        <f>IF(ISNUMBER($W129),$W129,0)</f>
        <v/>
      </c>
      <c r="Z129">
        <f>IF(ISNUMBER(SEARCH("Adjustment",$C129)),"excluded",IF($H129="Behind the Meter","excluded",IF(NOT(OR($E129="Bundled",$E129="Energy")),"excluded",IF(OR($H129="Retail Power Marketer",$H129="Community Choice Aggregator",$E129="Energy"),"procurement",IF(OR($H129="Municipal",$H129="Cooperative",$H129="Federal",$H129="State",$H129="Political Subdivision"),"cost_service",IF($H129="Investor Owned",IF(AND(COUNTIF(Parameters!$A$4:$A$33,$G129)&gt;0,COUNTIF(Parameters!$B$4:$B$33,$B129)=0),"procurement","cost_service"),"unclassified"))))))</f>
        <v/>
      </c>
    </row>
    <row r="130">
      <c r="A130" t="n">
        <v>2024</v>
      </c>
      <c r="B130" t="n">
        <v>64314</v>
      </c>
      <c r="C130" t="inlineStr">
        <is>
          <t>BP Energy Retail LLC</t>
        </is>
      </c>
      <c r="D130" t="inlineStr">
        <is>
          <t>B</t>
        </is>
      </c>
      <c r="E130" t="inlineStr">
        <is>
          <t>Energy</t>
        </is>
      </c>
      <c r="F130" t="inlineStr">
        <is>
          <t>O</t>
        </is>
      </c>
      <c r="G130" t="inlineStr">
        <is>
          <t>OH</t>
        </is>
      </c>
      <c r="H130" t="inlineStr">
        <is>
          <t>Retail Power Marketer</t>
        </is>
      </c>
      <c r="I130" t="inlineStr">
        <is>
          <t>PJM</t>
        </is>
      </c>
      <c r="J130" t="n">
        <v>0</v>
      </c>
      <c r="K130" t="n">
        <v>0</v>
      </c>
      <c r="L130" t="n">
        <v>0</v>
      </c>
      <c r="M130" t="n">
        <v>29611</v>
      </c>
      <c r="N130" t="n">
        <v>587401</v>
      </c>
      <c r="O130" t="n">
        <v>61</v>
      </c>
      <c r="P130" t="n">
        <v>214965</v>
      </c>
      <c r="Q130" t="n">
        <v>5290718</v>
      </c>
      <c r="R130" t="n">
        <v>50</v>
      </c>
      <c r="S130" t="n">
        <v>0</v>
      </c>
      <c r="T130" t="n">
        <v>0</v>
      </c>
      <c r="U130" t="n">
        <v>0</v>
      </c>
      <c r="V130" t="n">
        <v>244576</v>
      </c>
      <c r="W130" t="n">
        <v>5878119</v>
      </c>
      <c r="X130" t="n">
        <v>111</v>
      </c>
      <c r="Y130">
        <f>IF(ISNUMBER($W130),$W130,0)</f>
        <v/>
      </c>
      <c r="Z130">
        <f>IF(ISNUMBER(SEARCH("Adjustment",$C130)),"excluded",IF($H130="Behind the Meter","excluded",IF(NOT(OR($E130="Bundled",$E130="Energy")),"excluded",IF(OR($H130="Retail Power Marketer",$H130="Community Choice Aggregator",$E130="Energy"),"procurement",IF(OR($H130="Municipal",$H130="Cooperative",$H130="Federal",$H130="State",$H130="Political Subdivision"),"cost_service",IF($H130="Investor Owned",IF(AND(COUNTIF(Parameters!$A$4:$A$33,$G130)&gt;0,COUNTIF(Parameters!$B$4:$B$33,$B130)=0),"procurement","cost_service"),"unclassified"))))))</f>
        <v/>
      </c>
    </row>
    <row r="131">
      <c r="A131" t="n">
        <v>2024</v>
      </c>
      <c r="B131" t="n">
        <v>64601</v>
      </c>
      <c r="C131" t="inlineStr">
        <is>
          <t>LE Energy</t>
        </is>
      </c>
      <c r="D131" t="inlineStr">
        <is>
          <t>B</t>
        </is>
      </c>
      <c r="E131" t="inlineStr">
        <is>
          <t>Energy</t>
        </is>
      </c>
      <c r="F131" t="inlineStr">
        <is>
          <t>O</t>
        </is>
      </c>
      <c r="G131" t="inlineStr">
        <is>
          <t>OH</t>
        </is>
      </c>
      <c r="H131" t="inlineStr">
        <is>
          <t>Retail Power Marketer</t>
        </is>
      </c>
      <c r="I131" t="inlineStr">
        <is>
          <t>PJM</t>
        </is>
      </c>
      <c r="J131" t="n">
        <v>14467.6</v>
      </c>
      <c r="K131" t="n">
        <v>122558</v>
      </c>
      <c r="L131" t="n">
        <v>15418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14467.6</v>
      </c>
      <c r="W131" t="n">
        <v>122558</v>
      </c>
      <c r="X131" t="n">
        <v>15418</v>
      </c>
      <c r="Y131">
        <f>IF(ISNUMBER($W131),$W131,0)</f>
        <v/>
      </c>
      <c r="Z131">
        <f>IF(ISNUMBER(SEARCH("Adjustment",$C131)),"excluded",IF($H131="Behind the Meter","excluded",IF(NOT(OR($E131="Bundled",$E131="Energy")),"excluded",IF(OR($H131="Retail Power Marketer",$H131="Community Choice Aggregator",$E131="Energy"),"procurement",IF(OR($H131="Municipal",$H131="Cooperative",$H131="Federal",$H131="State",$H131="Political Subdivision"),"cost_service",IF($H131="Investor Owned",IF(AND(COUNTIF(Parameters!$A$4:$A$33,$G131)&gt;0,COUNTIF(Parameters!$B$4:$B$33,$B131)=0),"procurement","cost_service"),"unclassified"))))))</f>
        <v/>
      </c>
    </row>
    <row r="132">
      <c r="A132" t="n">
        <v>2024</v>
      </c>
      <c r="B132" t="n">
        <v>64705</v>
      </c>
      <c r="C132" t="inlineStr">
        <is>
          <t>NTHERM, LLC</t>
        </is>
      </c>
      <c r="D132" t="inlineStr">
        <is>
          <t>B</t>
        </is>
      </c>
      <c r="E132" t="inlineStr">
        <is>
          <t>Energy</t>
        </is>
      </c>
      <c r="F132" t="inlineStr">
        <is>
          <t>O</t>
        </is>
      </c>
      <c r="G132" t="inlineStr">
        <is>
          <t>OH</t>
        </is>
      </c>
      <c r="H132" t="inlineStr">
        <is>
          <t>Retail Power Marketer</t>
        </is>
      </c>
      <c r="I132" t="inlineStr">
        <is>
          <t>PJM</t>
        </is>
      </c>
      <c r="J132" t="n">
        <v>3903.3</v>
      </c>
      <c r="K132" t="n">
        <v>23853</v>
      </c>
      <c r="L132" t="n">
        <v>2625</v>
      </c>
      <c r="M132" t="n">
        <v>11435.7</v>
      </c>
      <c r="N132" t="n">
        <v>68852</v>
      </c>
      <c r="O132" t="n">
        <v>2977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15339</v>
      </c>
      <c r="W132" t="n">
        <v>92705</v>
      </c>
      <c r="X132" t="n">
        <v>5602</v>
      </c>
      <c r="Y132">
        <f>IF(ISNUMBER($W132),$W132,0)</f>
        <v/>
      </c>
      <c r="Z132">
        <f>IF(ISNUMBER(SEARCH("Adjustment",$C132)),"excluded",IF($H132="Behind the Meter","excluded",IF(NOT(OR($E132="Bundled",$E132="Energy")),"excluded",IF(OR($H132="Retail Power Marketer",$H132="Community Choice Aggregator",$E132="Energy"),"procurement",IF(OR($H132="Municipal",$H132="Cooperative",$H132="Federal",$H132="State",$H132="Political Subdivision"),"cost_service",IF($H132="Investor Owned",IF(AND(COUNTIF(Parameters!$A$4:$A$33,$G132)&gt;0,COUNTIF(Parameters!$B$4:$B$33,$B132)=0),"procurement","cost_service"),"unclassified"))))))</f>
        <v/>
      </c>
    </row>
    <row r="133">
      <c r="A133" t="n">
        <v>2024</v>
      </c>
      <c r="B133" t="n">
        <v>64974</v>
      </c>
      <c r="C133" t="inlineStr">
        <is>
          <t>PBF Power Marketing</t>
        </is>
      </c>
      <c r="D133" t="inlineStr">
        <is>
          <t>B</t>
        </is>
      </c>
      <c r="E133" t="inlineStr">
        <is>
          <t>Energy</t>
        </is>
      </c>
      <c r="F133" t="inlineStr">
        <is>
          <t>O</t>
        </is>
      </c>
      <c r="G133" t="inlineStr">
        <is>
          <t>OH</t>
        </is>
      </c>
      <c r="H133" t="inlineStr">
        <is>
          <t>Retail Power Marketer</t>
        </is>
      </c>
      <c r="I133" t="inlineStr">
        <is>
          <t>PJM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17641.3</v>
      </c>
      <c r="Q133" t="n">
        <v>515041</v>
      </c>
      <c r="R133" t="n">
        <v>1</v>
      </c>
      <c r="S133" t="n">
        <v>0</v>
      </c>
      <c r="T133" t="n">
        <v>0</v>
      </c>
      <c r="U133" t="n">
        <v>0</v>
      </c>
      <c r="V133" t="n">
        <v>17641.3</v>
      </c>
      <c r="W133" t="n">
        <v>515041</v>
      </c>
      <c r="X133" t="n">
        <v>1</v>
      </c>
      <c r="Y133">
        <f>IF(ISNUMBER($W133),$W133,0)</f>
        <v/>
      </c>
      <c r="Z133">
        <f>IF(ISNUMBER(SEARCH("Adjustment",$C133)),"excluded",IF($H133="Behind the Meter","excluded",IF(NOT(OR($E133="Bundled",$E133="Energy")),"excluded",IF(OR($H133="Retail Power Marketer",$H133="Community Choice Aggregator",$E133="Energy"),"procurement",IF(OR($H133="Municipal",$H133="Cooperative",$H133="Federal",$H133="State",$H133="Political Subdivision"),"cost_service",IF($H133="Investor Owned",IF(AND(COUNTIF(Parameters!$A$4:$A$33,$G133)&gt;0,COUNTIF(Parameters!$B$4:$B$33,$B133)=0),"procurement","cost_service"),"unclassified"))))))</f>
        <v/>
      </c>
    </row>
    <row r="134">
      <c r="A134" t="n">
        <v>2024</v>
      </c>
      <c r="B134" t="n">
        <v>65262</v>
      </c>
      <c r="C134" t="inlineStr">
        <is>
          <t>Archer Energy, LLC</t>
        </is>
      </c>
      <c r="D134" t="inlineStr">
        <is>
          <t>B</t>
        </is>
      </c>
      <c r="E134" t="inlineStr">
        <is>
          <t>Energy</t>
        </is>
      </c>
      <c r="F134" t="inlineStr">
        <is>
          <t>O</t>
        </is>
      </c>
      <c r="G134" t="inlineStr">
        <is>
          <t>OH</t>
        </is>
      </c>
      <c r="H134" t="inlineStr">
        <is>
          <t>Retail Power Marketer</t>
        </is>
      </c>
      <c r="I134" t="inlineStr">
        <is>
          <t>PJM</t>
        </is>
      </c>
      <c r="J134" t="n">
        <v>34321.7</v>
      </c>
      <c r="K134" t="n">
        <v>473975</v>
      </c>
      <c r="L134" t="n">
        <v>40167</v>
      </c>
      <c r="M134" t="n">
        <v>14067.6</v>
      </c>
      <c r="N134" t="n">
        <v>202247</v>
      </c>
      <c r="O134" t="n">
        <v>6470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48389.3</v>
      </c>
      <c r="W134" t="n">
        <v>676222</v>
      </c>
      <c r="X134" t="n">
        <v>46637</v>
      </c>
      <c r="Y134">
        <f>IF(ISNUMBER($W134),$W134,0)</f>
        <v/>
      </c>
      <c r="Z134">
        <f>IF(ISNUMBER(SEARCH("Adjustment",$C134)),"excluded",IF($H134="Behind the Meter","excluded",IF(NOT(OR($E134="Bundled",$E134="Energy")),"excluded",IF(OR($H134="Retail Power Marketer",$H134="Community Choice Aggregator",$E134="Energy"),"procurement",IF(OR($H134="Municipal",$H134="Cooperative",$H134="Federal",$H134="State",$H134="Political Subdivision"),"cost_service",IF($H134="Investor Owned",IF(AND(COUNTIF(Parameters!$A$4:$A$33,$G134)&gt;0,COUNTIF(Parameters!$B$4:$B$33,$B134)=0),"procurement","cost_service"),"unclassified"))))))</f>
        <v/>
      </c>
    </row>
    <row r="135">
      <c r="A135" t="n">
        <v>2024</v>
      </c>
      <c r="B135" t="n">
        <v>65310</v>
      </c>
      <c r="C135" t="inlineStr">
        <is>
          <t>Energywell LLC</t>
        </is>
      </c>
      <c r="D135" t="inlineStr">
        <is>
          <t>B</t>
        </is>
      </c>
      <c r="E135" t="inlineStr">
        <is>
          <t>Energy</t>
        </is>
      </c>
      <c r="F135" t="inlineStr">
        <is>
          <t>O</t>
        </is>
      </c>
      <c r="G135" t="inlineStr">
        <is>
          <t>OH</t>
        </is>
      </c>
      <c r="H135" t="inlineStr">
        <is>
          <t>Retail Power Marketer</t>
        </is>
      </c>
      <c r="I135" t="inlineStr">
        <is>
          <t>PJM</t>
        </is>
      </c>
      <c r="J135" t="n">
        <v>2084.8</v>
      </c>
      <c r="K135" t="n">
        <v>25228</v>
      </c>
      <c r="L135" t="n">
        <v>2136</v>
      </c>
      <c r="M135" t="n">
        <v>277.8</v>
      </c>
      <c r="N135" t="n">
        <v>3444</v>
      </c>
      <c r="O135" t="n">
        <v>169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2362.6</v>
      </c>
      <c r="W135" t="n">
        <v>28672</v>
      </c>
      <c r="X135" t="n">
        <v>2305</v>
      </c>
      <c r="Y135">
        <f>IF(ISNUMBER($W135),$W135,0)</f>
        <v/>
      </c>
      <c r="Z135">
        <f>IF(ISNUMBER(SEARCH("Adjustment",$C135)),"excluded",IF($H135="Behind the Meter","excluded",IF(NOT(OR($E135="Bundled",$E135="Energy")),"excluded",IF(OR($H135="Retail Power Marketer",$H135="Community Choice Aggregator",$E135="Energy"),"procurement",IF(OR($H135="Municipal",$H135="Cooperative",$H135="Federal",$H135="State",$H135="Political Subdivision"),"cost_service",IF($H135="Investor Owned",IF(AND(COUNTIF(Parameters!$A$4:$A$33,$G135)&gt;0,COUNTIF(Parameters!$B$4:$B$33,$B135)=0),"procurement","cost_service"),"unclassified"))))))</f>
        <v/>
      </c>
    </row>
    <row r="136">
      <c r="A136" t="n">
        <v>2024</v>
      </c>
      <c r="B136" t="n">
        <v>65439</v>
      </c>
      <c r="C136" t="inlineStr">
        <is>
          <t>CPV Retail Energy LP</t>
        </is>
      </c>
      <c r="D136" t="inlineStr">
        <is>
          <t>B</t>
        </is>
      </c>
      <c r="E136" t="inlineStr">
        <is>
          <t>Energy</t>
        </is>
      </c>
      <c r="F136" t="inlineStr">
        <is>
          <t>O</t>
        </is>
      </c>
      <c r="G136" t="inlineStr">
        <is>
          <t>OH</t>
        </is>
      </c>
      <c r="H136" t="inlineStr">
        <is>
          <t>Retail Power Marketer</t>
        </is>
      </c>
      <c r="I136" t="inlineStr">
        <is>
          <t>PJM</t>
        </is>
      </c>
      <c r="J136" t="n">
        <v>0</v>
      </c>
      <c r="K136" t="n">
        <v>0</v>
      </c>
      <c r="L136" t="n">
        <v>0</v>
      </c>
      <c r="M136" t="n">
        <v>3930</v>
      </c>
      <c r="N136" t="n">
        <v>68200</v>
      </c>
      <c r="O136" t="n">
        <v>155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3930</v>
      </c>
      <c r="W136" t="n">
        <v>68200</v>
      </c>
      <c r="X136" t="n">
        <v>155</v>
      </c>
      <c r="Y136">
        <f>IF(ISNUMBER($W136),$W136,0)</f>
        <v/>
      </c>
      <c r="Z136">
        <f>IF(ISNUMBER(SEARCH("Adjustment",$C136)),"excluded",IF($H136="Behind the Meter","excluded",IF(NOT(OR($E136="Bundled",$E136="Energy")),"excluded",IF(OR($H136="Retail Power Marketer",$H136="Community Choice Aggregator",$E136="Energy"),"procurement",IF(OR($H136="Municipal",$H136="Cooperative",$H136="Federal",$H136="State",$H136="Political Subdivision"),"cost_service",IF($H136="Investor Owned",IF(AND(COUNTIF(Parameters!$A$4:$A$33,$G136)&gt;0,COUNTIF(Parameters!$B$4:$B$33,$B136)=0),"procurement","cost_service"),"unclassified"))))))</f>
        <v/>
      </c>
    </row>
    <row r="137">
      <c r="A137" t="n">
        <v>2024</v>
      </c>
      <c r="B137" t="n">
        <v>66026</v>
      </c>
      <c r="C137" t="inlineStr">
        <is>
          <t>Palmetto Solar, LLC</t>
        </is>
      </c>
      <c r="D137" t="inlineStr">
        <is>
          <t>A</t>
        </is>
      </c>
      <c r="E137" t="inlineStr">
        <is>
          <t>Bundled</t>
        </is>
      </c>
      <c r="F137" t="inlineStr">
        <is>
          <t>O</t>
        </is>
      </c>
      <c r="G137" t="inlineStr">
        <is>
          <t>OH</t>
        </is>
      </c>
      <c r="H137" t="inlineStr">
        <is>
          <t>Behind the Meter</t>
        </is>
      </c>
      <c r="I137" t="inlineStr">
        <is>
          <t>PJM</t>
        </is>
      </c>
      <c r="J137" t="n">
        <v>112</v>
      </c>
      <c r="K137" t="n">
        <v>583</v>
      </c>
      <c r="L137" t="n">
        <v>21</v>
      </c>
      <c r="M137" t="inlineStr">
        <is>
          <t>.</t>
        </is>
      </c>
      <c r="N137" t="inlineStr">
        <is>
          <t>.</t>
        </is>
      </c>
      <c r="O137" t="inlineStr">
        <is>
          <t>.</t>
        </is>
      </c>
      <c r="P137" t="inlineStr">
        <is>
          <t>.</t>
        </is>
      </c>
      <c r="Q137" t="inlineStr">
        <is>
          <t>.</t>
        </is>
      </c>
      <c r="R137" t="inlineStr">
        <is>
          <t>.</t>
        </is>
      </c>
      <c r="S137" t="inlineStr">
        <is>
          <t>.</t>
        </is>
      </c>
      <c r="T137" t="inlineStr">
        <is>
          <t>.</t>
        </is>
      </c>
      <c r="U137" t="inlineStr">
        <is>
          <t>.</t>
        </is>
      </c>
      <c r="V137" t="n">
        <v>112</v>
      </c>
      <c r="W137" t="n">
        <v>583</v>
      </c>
      <c r="X137" t="n">
        <v>21</v>
      </c>
      <c r="Y137">
        <f>IF(ISNUMBER($W137),$W137,0)</f>
        <v/>
      </c>
      <c r="Z137">
        <f>IF(ISNUMBER(SEARCH("Adjustment",$C137)),"excluded",IF($H137="Behind the Meter","excluded",IF(NOT(OR($E137="Bundled",$E137="Energy")),"excluded",IF(OR($H137="Retail Power Marketer",$H137="Community Choice Aggregator",$E137="Energy"),"procurement",IF(OR($H137="Municipal",$H137="Cooperative",$H137="Federal",$H137="State",$H137="Political Subdivision"),"cost_service",IF($H137="Investor Owned",IF(AND(COUNTIF(Parameters!$A$4:$A$33,$G137)&gt;0,COUNTIF(Parameters!$B$4:$B$33,$B137)=0),"procurement","cost_service"),"unclassified"))))))</f>
        <v/>
      </c>
    </row>
    <row r="138">
      <c r="A138" t="n">
        <v>2024</v>
      </c>
      <c r="B138" t="n">
        <v>66036</v>
      </c>
      <c r="C138" t="inlineStr">
        <is>
          <t>EverBright, LLC</t>
        </is>
      </c>
      <c r="D138" t="inlineStr">
        <is>
          <t>A</t>
        </is>
      </c>
      <c r="E138" t="inlineStr">
        <is>
          <t>Bundled</t>
        </is>
      </c>
      <c r="F138" t="inlineStr">
        <is>
          <t>O</t>
        </is>
      </c>
      <c r="G138" t="inlineStr">
        <is>
          <t>OH</t>
        </is>
      </c>
      <c r="H138" t="inlineStr">
        <is>
          <t>Behind the Meter</t>
        </is>
      </c>
      <c r="I138" t="inlineStr">
        <is>
          <t>PJM</t>
        </is>
      </c>
      <c r="J138" t="n">
        <v>288</v>
      </c>
      <c r="K138" t="n">
        <v>1877</v>
      </c>
      <c r="L138" t="n">
        <v>267</v>
      </c>
      <c r="M138" t="inlineStr">
        <is>
          <t>.</t>
        </is>
      </c>
      <c r="N138" t="inlineStr">
        <is>
          <t>.</t>
        </is>
      </c>
      <c r="O138" t="inlineStr">
        <is>
          <t>.</t>
        </is>
      </c>
      <c r="P138" t="inlineStr">
        <is>
          <t>.</t>
        </is>
      </c>
      <c r="Q138" t="inlineStr">
        <is>
          <t>.</t>
        </is>
      </c>
      <c r="R138" t="inlineStr">
        <is>
          <t>.</t>
        </is>
      </c>
      <c r="S138" t="inlineStr">
        <is>
          <t>.</t>
        </is>
      </c>
      <c r="T138" t="inlineStr">
        <is>
          <t>.</t>
        </is>
      </c>
      <c r="U138" t="inlineStr">
        <is>
          <t>.</t>
        </is>
      </c>
      <c r="V138" t="n">
        <v>288</v>
      </c>
      <c r="W138" t="n">
        <v>1877</v>
      </c>
      <c r="X138" t="n">
        <v>267</v>
      </c>
      <c r="Y138">
        <f>IF(ISNUMBER($W138),$W138,0)</f>
        <v/>
      </c>
      <c r="Z138">
        <f>IF(ISNUMBER(SEARCH("Adjustment",$C138)),"excluded",IF($H138="Behind the Meter","excluded",IF(NOT(OR($E138="Bundled",$E138="Energy")),"excluded",IF(OR($H138="Retail Power Marketer",$H138="Community Choice Aggregator",$E138="Energy"),"procurement",IF(OR($H138="Municipal",$H138="Cooperative",$H138="Federal",$H138="State",$H138="Political Subdivision"),"cost_service",IF($H138="Investor Owned",IF(AND(COUNTIF(Parameters!$A$4:$A$33,$G138)&gt;0,COUNTIF(Parameters!$B$4:$B$33,$B138)=0),"procurement","cost_service"),"unclassified"))))))</f>
        <v/>
      </c>
    </row>
    <row r="139">
      <c r="A139" t="n">
        <v>2024</v>
      </c>
      <c r="B139" t="n">
        <v>66113</v>
      </c>
      <c r="C139" t="inlineStr">
        <is>
          <t>EcoPlus Power, LLC</t>
        </is>
      </c>
      <c r="D139" t="inlineStr">
        <is>
          <t>B</t>
        </is>
      </c>
      <c r="E139" t="inlineStr">
        <is>
          <t>Energy</t>
        </is>
      </c>
      <c r="F139" t="inlineStr">
        <is>
          <t>O</t>
        </is>
      </c>
      <c r="G139" t="inlineStr">
        <is>
          <t>OH</t>
        </is>
      </c>
      <c r="H139" t="inlineStr">
        <is>
          <t>Retail Power Marketer</t>
        </is>
      </c>
      <c r="I139" t="inlineStr">
        <is>
          <t>PJM</t>
        </is>
      </c>
      <c r="J139" t="n">
        <v>656.6</v>
      </c>
      <c r="K139" t="n">
        <v>8003</v>
      </c>
      <c r="L139" t="n">
        <v>771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656.6</v>
      </c>
      <c r="W139" t="n">
        <v>8003</v>
      </c>
      <c r="X139" t="n">
        <v>771</v>
      </c>
      <c r="Y139">
        <f>IF(ISNUMBER($W139),$W139,0)</f>
        <v/>
      </c>
      <c r="Z139">
        <f>IF(ISNUMBER(SEARCH("Adjustment",$C139)),"excluded",IF($H139="Behind the Meter","excluded",IF(NOT(OR($E139="Bundled",$E139="Energy")),"excluded",IF(OR($H139="Retail Power Marketer",$H139="Community Choice Aggregator",$E139="Energy"),"procurement",IF(OR($H139="Municipal",$H139="Cooperative",$H139="Federal",$H139="State",$H139="Political Subdivision"),"cost_service",IF($H139="Investor Owned",IF(AND(COUNTIF(Parameters!$A$4:$A$33,$G139)&gt;0,COUNTIF(Parameters!$B$4:$B$33,$B139)=0),"procurement","cost_service"),"unclassified"))))))</f>
        <v/>
      </c>
    </row>
    <row r="140">
      <c r="A140" t="n">
        <v>2024</v>
      </c>
      <c r="B140" t="n">
        <v>99999</v>
      </c>
      <c r="C140" t="inlineStr">
        <is>
          <t>Adjustment 2024</t>
        </is>
      </c>
      <c r="D140" t="inlineStr">
        <is>
          <t>A</t>
        </is>
      </c>
      <c r="E140" t="inlineStr">
        <is>
          <t>Bundled</t>
        </is>
      </c>
      <c r="F140" t="inlineStr">
        <is>
          <t>I</t>
        </is>
      </c>
      <c r="G140" t="inlineStr">
        <is>
          <t>OH</t>
        </is>
      </c>
      <c r="H140" t="inlineStr"/>
      <c r="I140" t="inlineStr">
        <is>
          <t>PJM</t>
        </is>
      </c>
      <c r="J140" t="n">
        <v>300340</v>
      </c>
      <c r="K140" t="n">
        <v>1996594</v>
      </c>
      <c r="L140" t="n">
        <v>179369</v>
      </c>
      <c r="M140" t="n">
        <v>125851.3</v>
      </c>
      <c r="N140" t="n">
        <v>954770</v>
      </c>
      <c r="O140" t="n">
        <v>24101</v>
      </c>
      <c r="P140" t="n">
        <v>151033</v>
      </c>
      <c r="Q140" t="n">
        <v>1641695</v>
      </c>
      <c r="R140" t="n">
        <v>964</v>
      </c>
      <c r="S140" t="n">
        <v>0</v>
      </c>
      <c r="T140" t="n">
        <v>0</v>
      </c>
      <c r="U140" t="n">
        <v>0</v>
      </c>
      <c r="V140" t="n">
        <v>577224.3</v>
      </c>
      <c r="W140" t="n">
        <v>4593059</v>
      </c>
      <c r="X140" t="n">
        <v>204434</v>
      </c>
      <c r="Y140">
        <f>IF(ISNUMBER($W140),$W140,0)</f>
        <v/>
      </c>
      <c r="Z140">
        <f>IF(ISNUMBER(SEARCH("Adjustment",$C140)),"excluded",IF($H140="Behind the Meter","excluded",IF(NOT(OR($E140="Bundled",$E140="Energy")),"excluded",IF(OR($H140="Retail Power Marketer",$H140="Community Choice Aggregator",$E140="Energy"),"procurement",IF(OR($H140="Municipal",$H140="Cooperative",$H140="Federal",$H140="State",$H140="Political Subdivision"),"cost_service",IF($H140="Investor Owned",IF(AND(COUNTIF(Parameters!$A$4:$A$33,$G140)&gt;0,COUNTIF(Parameters!$B$4:$B$33,$B140)=0),"procurement","cost_service"),"unclassified"))))))</f>
        <v/>
      </c>
    </row>
    <row r="141">
      <c r="A141" t="n">
        <v>2024</v>
      </c>
      <c r="B141" t="n">
        <v>99999</v>
      </c>
      <c r="C141" t="inlineStr">
        <is>
          <t>Adjustment 2024</t>
        </is>
      </c>
      <c r="D141" t="inlineStr">
        <is>
          <t>B</t>
        </is>
      </c>
      <c r="E141" t="inlineStr">
        <is>
          <t>Energy</t>
        </is>
      </c>
      <c r="F141" t="inlineStr">
        <is>
          <t>I</t>
        </is>
      </c>
      <c r="G141" t="inlineStr">
        <is>
          <t>OH</t>
        </is>
      </c>
      <c r="H141" t="inlineStr"/>
      <c r="I141" t="inlineStr">
        <is>
          <t>PJM</t>
        </is>
      </c>
      <c r="J141" t="n">
        <v>169113.5</v>
      </c>
      <c r="K141" t="n">
        <v>2279910</v>
      </c>
      <c r="L141" t="n">
        <v>-21228</v>
      </c>
      <c r="M141" t="n">
        <v>-1029889.8</v>
      </c>
      <c r="N141" t="n">
        <v>-20418077</v>
      </c>
      <c r="O141" t="n">
        <v>111726</v>
      </c>
      <c r="P141" t="n">
        <v>1164793.5</v>
      </c>
      <c r="Q141" t="n">
        <v>23089795</v>
      </c>
      <c r="R141" t="n">
        <v>7566</v>
      </c>
      <c r="S141" t="n">
        <v>854.6</v>
      </c>
      <c r="T141" t="n">
        <v>17168</v>
      </c>
      <c r="U141" t="n">
        <v>-1</v>
      </c>
      <c r="V141" t="n">
        <v>304871.9</v>
      </c>
      <c r="W141" t="n">
        <v>4968796</v>
      </c>
      <c r="X141" t="n">
        <v>98063</v>
      </c>
      <c r="Y141">
        <f>IF(ISNUMBER($W141),$W141,0)</f>
        <v/>
      </c>
      <c r="Z141">
        <f>IF(ISNUMBER(SEARCH("Adjustment",$C141)),"excluded",IF($H141="Behind the Meter","excluded",IF(NOT(OR($E141="Bundled",$E141="Energy")),"excluded",IF(OR($H141="Retail Power Marketer",$H141="Community Choice Aggregator",$E141="Energy"),"procurement",IF(OR($H141="Municipal",$H141="Cooperative",$H141="Federal",$H141="State",$H141="Political Subdivision"),"cost_service",IF($H141="Investor Owned",IF(AND(COUNTIF(Parameters!$A$4:$A$33,$G141)&gt;0,COUNTIF(Parameters!$B$4:$B$33,$B141)=0),"procurement","cost_service"),"unclassified"))))))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OH</t>
        </is>
      </c>
      <c r="B2">
        <f>SUMIFS('EIA-861 Sales 2024'!$Y$4:$Y$141,'EIA-861 Sales 2024'!$Z$4:$Z$141,"cost_service")</f>
        <v/>
      </c>
      <c r="C2">
        <f>SUMIFS('EIA-861 Sales 2024'!$Y$4:$Y$141,'EIA-861 Sales 2024'!$Z$4:$Z$141,"procurement")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