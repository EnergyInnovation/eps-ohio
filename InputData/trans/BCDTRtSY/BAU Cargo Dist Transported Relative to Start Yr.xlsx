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OH\trans\BCDTRtSY\"/>
    </mc:Choice>
  </mc:AlternateContent>
  <xr:revisionPtr revIDLastSave="0" documentId="8_{91F9B814-8505-4921-87C2-E04993E2E09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<sst xmlns="http://schemas.openxmlformats.org/spreadsheetml/2006/main" count="6428" uniqueCount="3038">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</sst>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2920</v>
      </c>
      <c r="C1" s="77">
        <v>46248</v>
      </c>
      <c r="H1" t="s">
        <v>2981</v>
      </c>
      <c r="I1" t="s">
        <v>2982</v>
      </c>
    </row>
    <row r="2" spans="1:9">
      <c r="B2" t="str">
        <f>VLOOKUP(B1,H2:I52,2)</f>
        <v>OH</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Ohio</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1.0042526263834128</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1.0099214747515353</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1.0125163143895368</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1.014706848209866</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1.0161648427685788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1.0146836272426352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1.0133645254042003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1.0106781310613542</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1.0085865337164079</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1.0056769364454292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1.0034545773242725</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1.0016559037029025</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0.99991399116398016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0.99759847940314761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0.9954814480911055</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0.99230786805008464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0.98902149366615288</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0.98542164015871636</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0.98204157049537721</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0.97846134572671639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0.97463918075079725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0.97009717065380663</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0.96568705907445518</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0.96107756362135355</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0.95684646352777458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1.0160394187218911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1.0262540892395033</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1.0329938604881805</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1.0385131611755927</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1.0426273848360539</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1.042687819529148</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1.042325245405743</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1.0424288742335286</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1.0420672337324923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1.0420133764818174</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1.0411978082137188</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1.0405050427689726</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1.039330138346062</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1.0381345667595792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1.0368888691357943</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1.0346495800329036</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1.0323628168365488</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1.0297609738788247</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1.0270471225674673</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1.0242294975335489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1.021056709952217</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1.0177836973094769</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1.0141677421695146</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1.0103987501363918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1.0065737094276399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1.0294322221909777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1.0462300879534574</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1.052256950110134</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1.063063595419141</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1.0779452220142234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1.0893085250249981</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1.1048776611310573</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1.1221758986990531</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1.1416342063653224</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1.1634183406736782</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1.1783153671542208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1.1931679620089781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1.2076660852803491</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1.2211039066437637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1.2348645336113413</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1.2468829969252457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1.2598122124960585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1.273868052492203</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1.2877139773525255</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1.3015514353604567</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1.3143120581751366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1.325126579223423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1.3359982874079548</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1.3457825244725454</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1.3559134701427564</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1.0617327085532029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1.1069469773462064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1.1405581592082057</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1.1692919855175143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1.1933593465884347</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1.2102654187494901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1.224880899329295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1.2402214216020919</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1.2505151433778574</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1.260690747986084</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1.2671861124063772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1.2744595915427459</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1.2804230379062778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1.2837491531371501</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1.287379373023904</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1.2892005178633636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1.2910074221925565</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1.2913125714569356</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1.2923523943837745</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1.2939709024622177</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1.2940347022023075</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1.2947430110899489</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1.2932895389631531</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1.2914406877301539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1.2893000429697381</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1.0000805706936564</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0.99311311536869173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0.98025099533990878</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0.96986260359228493</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0.96178507859162821</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0.95104790280788976</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0.94267269496389849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0.93551842796186468</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0.92961422086086221</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0.92500035012198245</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0.91754399890898852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0.91016993354219833</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0.90268428682284674</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0.89517774060257427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0.88780581310191442</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0.87954612113602437</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0.87173322277550114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0.86424100890336331</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0.8567908706144981</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0.84935221960868279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0.84152179987867759</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0.83313859201754992</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0.82467595400958216</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0.81592142548594793</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0.80746758479884528</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1.0040174277780216</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1.0102171534485802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1.013483773383439</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1.0165429453709278</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1.0185797394165461</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1.0183226065082305</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1.0181081427535097</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1.0163834226640835</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1.015011031190779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1.0127564898090331</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1.0112897980107076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1.0102601825773392</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1.0092016554021781</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1.0074485316408699</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1.0059191208554683</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1.0035963915316002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1.001019579283537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0.99822369357124197</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0.99574766690069072</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0.99314791626043131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0.99011561531143111</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0.98640450357428699</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0.9826548102915208</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0.97877059224774621</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0.97526588148208293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0.9942333514645505</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0.99393750512588286</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0.99328283538835294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0.99380051346805698</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0.99907174859587544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1.0005954879970946</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1.0038860950242614</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1.0058836219792493</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1.0097713625897042</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1.0143347684019541</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1.0192092348331891</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1.0252945920204579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1.0325522082634206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1.0401315623886029</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1.0481734521288137</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1.0549490239981605</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1.0610866321394155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1.0647143689841692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1.0680542106992841</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1.0726673386510766</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1.077691696341802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1.0833294472347734</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1.0877158208730762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1.0928046378731364</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1.0971403703640252</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1.008850265150004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1.0219024795237666</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1.0340595058304003</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1.0436054139292357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1.0554858589898628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1.0604384304916503</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1.0662616095095576</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1.069889689002635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1.0747288673279189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1.0794040499923108</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1.0832643667108492</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1.0864171224462627</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1.0885624377251231</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1.0901372548242982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1.091870425071825</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1.0930576949902659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1.0937111592001325</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1.0933670068037173</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1.0933120428596157</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1.0950341649814583</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1.0969313915392893</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1.0987114133131506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1.0984499300603738</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1.0981012430419526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1.0972059212752872</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1.0248900603107309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1.0419635955286093</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1.0525588395305903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1.0668016532306814</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1.083964292721598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1.0981139359296137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1.1152392840925023</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1.1336950034928506</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1.1537702461829522</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1.1755636928181803</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1.1928335698601218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1.2101749670946469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1.2273688496466708</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1.2439187801387634</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1.2607851962365195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1.2764056561710981</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1.2927139101857374</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1.3098648864643831</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1.3269398770637904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1.3440742939234123</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1.3605282983263736</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1.3756859390784131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1.3909502347392297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1.4055195874412887</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1.420416552509572</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0.97542436927579534</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1.0049681770300385</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0.98250509903933414</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0.9729244363525611</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0.97757908399130777</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0.94852415456498995</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0.94852752250457351</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0.94866763245971764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0.94203831885023936</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0.9411879996601431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0.93950358735640938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0.93915290455043332</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0.9356473289364432</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0.93366065106306118</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0.93073307626497126</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0.92582254360049232</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0.91892370937893564</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0.91266353531239675</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0.90875892870900876</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0.90430968131630218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0.90222536569593348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0.90355506534204078</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0.9024343363409757</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0.89590592863989726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0.89002374670375872</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0.99026761321694767</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1.0074753043859239</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1.026638481476045</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1.0423935659596983</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1.0590123732818075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1.071628822417112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1.08615120247188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1.1008353001144555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1.116095395531596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1.1322061553752187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1.1442801760016146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1.1530078595959126</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1.1616434117830008</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1.1690595933339298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1.1764805019498525</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1.1831520852575963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1.1907554739350454</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1.1978706459458639</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1.2047595835068843</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1.2128367909525537</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1.2209666038302225</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1.2291805050302171</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1.2365827781716705</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1.2436101176462235</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1.2518784496568136</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1.0042526263834128</v>
      </c>
      <c r="E2">
        <f>'BCDTRtSY-state-adjusted'!E5</f>
        <v>1.0099214747515353</v>
      </c>
      <c r="F2">
        <f>'BCDTRtSY-state-adjusted'!F5</f>
        <v>1.0125163143895368</v>
      </c>
      <c r="G2">
        <f>'BCDTRtSY-state-adjusted'!G5</f>
        <v>1.014706848209866</v>
      </c>
      <c r="H2">
        <f>'BCDTRtSY-state-adjusted'!H5</f>
        <v>1.0161648427685788</v>
      </c>
      <c r="I2">
        <f>'BCDTRtSY-state-adjusted'!I5</f>
        <v>1.0146836272426352</v>
      </c>
      <c r="J2">
        <f>'BCDTRtSY-state-adjusted'!J5</f>
        <v>1.0133645254042003</v>
      </c>
      <c r="K2">
        <f>'BCDTRtSY-state-adjusted'!K5</f>
        <v>1.0106781310613542</v>
      </c>
      <c r="L2">
        <f>'BCDTRtSY-state-adjusted'!L5</f>
        <v>1.0085865337164079</v>
      </c>
      <c r="M2">
        <f>'BCDTRtSY-state-adjusted'!M5</f>
        <v>1.0056769364454292</v>
      </c>
      <c r="N2">
        <f>'BCDTRtSY-state-adjusted'!N5</f>
        <v>1.0034545773242725</v>
      </c>
      <c r="O2">
        <f>'BCDTRtSY-state-adjusted'!O5</f>
        <v>1.0016559037029025</v>
      </c>
      <c r="P2">
        <f>'BCDTRtSY-state-adjusted'!P5</f>
        <v>0.99991399116398016</v>
      </c>
      <c r="Q2">
        <f>'BCDTRtSY-state-adjusted'!Q5</f>
        <v>0.99759847940314761</v>
      </c>
      <c r="R2">
        <f>'BCDTRtSY-state-adjusted'!R5</f>
        <v>0.9954814480911055</v>
      </c>
      <c r="S2">
        <f>'BCDTRtSY-state-adjusted'!S5</f>
        <v>0.99230786805008464</v>
      </c>
      <c r="T2">
        <f>'BCDTRtSY-state-adjusted'!T5</f>
        <v>0.98902149366615288</v>
      </c>
      <c r="U2">
        <f>'BCDTRtSY-state-adjusted'!U5</f>
        <v>0.98542164015871636</v>
      </c>
      <c r="V2">
        <f>'BCDTRtSY-state-adjusted'!V5</f>
        <v>0.98204157049537721</v>
      </c>
      <c r="W2">
        <f>'BCDTRtSY-state-adjusted'!W5</f>
        <v>0.97846134572671639</v>
      </c>
      <c r="X2">
        <f>'BCDTRtSY-state-adjusted'!X5</f>
        <v>0.97463918075079725</v>
      </c>
      <c r="Y2">
        <f>'BCDTRtSY-state-adjusted'!Y5</f>
        <v>0.97009717065380663</v>
      </c>
      <c r="Z2">
        <f>'BCDTRtSY-state-adjusted'!Z5</f>
        <v>0.96568705907445518</v>
      </c>
      <c r="AA2">
        <f>'BCDTRtSY-state-adjusted'!AA5</f>
        <v>0.96107756362135355</v>
      </c>
      <c r="AB2">
        <f>'BCDTRtSY-state-adjusted'!AB5</f>
        <v>0.95684646352777458</v>
      </c>
    </row>
    <row r="3" spans="1:28">
      <c r="A3" t="s">
        <v>118</v>
      </c>
      <c r="B3">
        <f>'BCDTRtSY-state-adjusted'!B6</f>
        <v>1</v>
      </c>
      <c r="C3">
        <f>'BCDTRtSY-state-adjusted'!C6</f>
        <v>1</v>
      </c>
      <c r="D3">
        <f>'BCDTRtSY-state-adjusted'!D6</f>
        <v>1.0160394187218911</v>
      </c>
      <c r="E3">
        <f>'BCDTRtSY-state-adjusted'!E6</f>
        <v>1.0262540892395033</v>
      </c>
      <c r="F3">
        <f>'BCDTRtSY-state-adjusted'!F6</f>
        <v>1.0329938604881805</v>
      </c>
      <c r="G3">
        <f>'BCDTRtSY-state-adjusted'!G6</f>
        <v>1.0385131611755927</v>
      </c>
      <c r="H3">
        <f>'BCDTRtSY-state-adjusted'!H6</f>
        <v>1.0426273848360539</v>
      </c>
      <c r="I3">
        <f>'BCDTRtSY-state-adjusted'!I6</f>
        <v>1.042687819529148</v>
      </c>
      <c r="J3">
        <f>'BCDTRtSY-state-adjusted'!J6</f>
        <v>1.042325245405743</v>
      </c>
      <c r="K3">
        <f>'BCDTRtSY-state-adjusted'!K6</f>
        <v>1.0424288742335286</v>
      </c>
      <c r="L3">
        <f>'BCDTRtSY-state-adjusted'!L6</f>
        <v>1.0420672337324923</v>
      </c>
      <c r="M3">
        <f>'BCDTRtSY-state-adjusted'!M6</f>
        <v>1.0420133764818174</v>
      </c>
      <c r="N3">
        <f>'BCDTRtSY-state-adjusted'!N6</f>
        <v>1.0411978082137188</v>
      </c>
      <c r="O3">
        <f>'BCDTRtSY-state-adjusted'!O6</f>
        <v>1.0405050427689726</v>
      </c>
      <c r="P3">
        <f>'BCDTRtSY-state-adjusted'!P6</f>
        <v>1.039330138346062</v>
      </c>
      <c r="Q3">
        <f>'BCDTRtSY-state-adjusted'!Q6</f>
        <v>1.0381345667595792</v>
      </c>
      <c r="R3">
        <f>'BCDTRtSY-state-adjusted'!R6</f>
        <v>1.0368888691357943</v>
      </c>
      <c r="S3">
        <f>'BCDTRtSY-state-adjusted'!S6</f>
        <v>1.0346495800329036</v>
      </c>
      <c r="T3">
        <f>'BCDTRtSY-state-adjusted'!T6</f>
        <v>1.0323628168365488</v>
      </c>
      <c r="U3">
        <f>'BCDTRtSY-state-adjusted'!U6</f>
        <v>1.0297609738788247</v>
      </c>
      <c r="V3">
        <f>'BCDTRtSY-state-adjusted'!V6</f>
        <v>1.0270471225674673</v>
      </c>
      <c r="W3">
        <f>'BCDTRtSY-state-adjusted'!W6</f>
        <v>1.0242294975335489</v>
      </c>
      <c r="X3">
        <f>'BCDTRtSY-state-adjusted'!X6</f>
        <v>1.021056709952217</v>
      </c>
      <c r="Y3">
        <f>'BCDTRtSY-state-adjusted'!Y6</f>
        <v>1.0177836973094769</v>
      </c>
      <c r="Z3">
        <f>'BCDTRtSY-state-adjusted'!Z6</f>
        <v>1.0141677421695146</v>
      </c>
      <c r="AA3">
        <f>'BCDTRtSY-state-adjusted'!AA6</f>
        <v>1.0103987501363918</v>
      </c>
      <c r="AB3">
        <f>'BCDTRtSY-state-adjusted'!AB6</f>
        <v>1.0065737094276399</v>
      </c>
    </row>
    <row r="4" spans="1:28">
      <c r="A4" t="s">
        <v>116</v>
      </c>
      <c r="B4">
        <f>'BCDTRtSY-state-adjusted'!B7</f>
        <v>1</v>
      </c>
      <c r="C4">
        <f>'BCDTRtSY-state-adjusted'!C7</f>
        <v>1</v>
      </c>
      <c r="D4">
        <f>'BCDTRtSY-state-adjusted'!D7</f>
        <v>1.0294322221909777</v>
      </c>
      <c r="E4">
        <f>'BCDTRtSY-state-adjusted'!E7</f>
        <v>1.0462300879534574</v>
      </c>
      <c r="F4">
        <f>'BCDTRtSY-state-adjusted'!F7</f>
        <v>1.052256950110134</v>
      </c>
      <c r="G4">
        <f>'BCDTRtSY-state-adjusted'!G7</f>
        <v>1.063063595419141</v>
      </c>
      <c r="H4">
        <f>'BCDTRtSY-state-adjusted'!H7</f>
        <v>1.0779452220142234</v>
      </c>
      <c r="I4">
        <f>'BCDTRtSY-state-adjusted'!I7</f>
        <v>1.0893085250249981</v>
      </c>
      <c r="J4">
        <f>'BCDTRtSY-state-adjusted'!J7</f>
        <v>1.1048776611310573</v>
      </c>
      <c r="K4">
        <f>'BCDTRtSY-state-adjusted'!K7</f>
        <v>1.1221758986990531</v>
      </c>
      <c r="L4">
        <f>'BCDTRtSY-state-adjusted'!L7</f>
        <v>1.1416342063653224</v>
      </c>
      <c r="M4">
        <f>'BCDTRtSY-state-adjusted'!M7</f>
        <v>1.1634183406736782</v>
      </c>
      <c r="N4">
        <f>'BCDTRtSY-state-adjusted'!N7</f>
        <v>1.1783153671542208</v>
      </c>
      <c r="O4">
        <f>'BCDTRtSY-state-adjusted'!O7</f>
        <v>1.1931679620089781</v>
      </c>
      <c r="P4">
        <f>'BCDTRtSY-state-adjusted'!P7</f>
        <v>1.2076660852803491</v>
      </c>
      <c r="Q4">
        <f>'BCDTRtSY-state-adjusted'!Q7</f>
        <v>1.2211039066437637</v>
      </c>
      <c r="R4">
        <f>'BCDTRtSY-state-adjusted'!R7</f>
        <v>1.2348645336113413</v>
      </c>
      <c r="S4">
        <f>'BCDTRtSY-state-adjusted'!S7</f>
        <v>1.2468829969252457</v>
      </c>
      <c r="T4">
        <f>'BCDTRtSY-state-adjusted'!T7</f>
        <v>1.2598122124960585</v>
      </c>
      <c r="U4">
        <f>'BCDTRtSY-state-adjusted'!U7</f>
        <v>1.273868052492203</v>
      </c>
      <c r="V4">
        <f>'BCDTRtSY-state-adjusted'!V7</f>
        <v>1.2877139773525255</v>
      </c>
      <c r="W4">
        <f>'BCDTRtSY-state-adjusted'!W7</f>
        <v>1.3015514353604567</v>
      </c>
      <c r="X4">
        <f>'BCDTRtSY-state-adjusted'!X7</f>
        <v>1.3143120581751366</v>
      </c>
      <c r="Y4">
        <f>'BCDTRtSY-state-adjusted'!Y7</f>
        <v>1.325126579223423</v>
      </c>
      <c r="Z4">
        <f>'BCDTRtSY-state-adjusted'!Z7</f>
        <v>1.3359982874079548</v>
      </c>
      <c r="AA4">
        <f>'BCDTRtSY-state-adjusted'!AA7</f>
        <v>1.3457825244725454</v>
      </c>
      <c r="AB4">
        <f>'BCDTRtSY-state-adjusted'!AB7</f>
        <v>1.3559134701427564</v>
      </c>
    </row>
    <row r="5" spans="1:28">
      <c r="A5" t="s">
        <v>121</v>
      </c>
      <c r="B5">
        <f>'BCDTRtSY-state-adjusted'!B8</f>
        <v>1</v>
      </c>
      <c r="C5">
        <f>'BCDTRtSY-state-adjusted'!C8</f>
        <v>1</v>
      </c>
      <c r="D5">
        <f>'BCDTRtSY-state-adjusted'!D8</f>
        <v>1.0617327085532029</v>
      </c>
      <c r="E5">
        <f>'BCDTRtSY-state-adjusted'!E8</f>
        <v>1.1069469773462064</v>
      </c>
      <c r="F5">
        <f>'BCDTRtSY-state-adjusted'!F8</f>
        <v>1.1405581592082057</v>
      </c>
      <c r="G5">
        <f>'BCDTRtSY-state-adjusted'!G8</f>
        <v>1.1692919855175143</v>
      </c>
      <c r="H5">
        <f>'BCDTRtSY-state-adjusted'!H8</f>
        <v>1.1933593465884347</v>
      </c>
      <c r="I5">
        <f>'BCDTRtSY-state-adjusted'!I8</f>
        <v>1.2102654187494901</v>
      </c>
      <c r="J5">
        <f>'BCDTRtSY-state-adjusted'!J8</f>
        <v>1.224880899329295</v>
      </c>
      <c r="K5">
        <f>'BCDTRtSY-state-adjusted'!K8</f>
        <v>1.2402214216020919</v>
      </c>
      <c r="L5">
        <f>'BCDTRtSY-state-adjusted'!L8</f>
        <v>1.2505151433778574</v>
      </c>
      <c r="M5">
        <f>'BCDTRtSY-state-adjusted'!M8</f>
        <v>1.260690747986084</v>
      </c>
      <c r="N5">
        <f>'BCDTRtSY-state-adjusted'!N8</f>
        <v>1.2671861124063772</v>
      </c>
      <c r="O5">
        <f>'BCDTRtSY-state-adjusted'!O8</f>
        <v>1.2744595915427459</v>
      </c>
      <c r="P5">
        <f>'BCDTRtSY-state-adjusted'!P8</f>
        <v>1.2804230379062778</v>
      </c>
      <c r="Q5">
        <f>'BCDTRtSY-state-adjusted'!Q8</f>
        <v>1.2837491531371501</v>
      </c>
      <c r="R5">
        <f>'BCDTRtSY-state-adjusted'!R8</f>
        <v>1.287379373023904</v>
      </c>
      <c r="S5">
        <f>'BCDTRtSY-state-adjusted'!S8</f>
        <v>1.2892005178633636</v>
      </c>
      <c r="T5">
        <f>'BCDTRtSY-state-adjusted'!T8</f>
        <v>1.2910074221925565</v>
      </c>
      <c r="U5">
        <f>'BCDTRtSY-state-adjusted'!U8</f>
        <v>1.2913125714569356</v>
      </c>
      <c r="V5">
        <f>'BCDTRtSY-state-adjusted'!V8</f>
        <v>1.2923523943837745</v>
      </c>
      <c r="W5">
        <f>'BCDTRtSY-state-adjusted'!W8</f>
        <v>1.2939709024622177</v>
      </c>
      <c r="X5">
        <f>'BCDTRtSY-state-adjusted'!X8</f>
        <v>1.2940347022023075</v>
      </c>
      <c r="Y5">
        <f>'BCDTRtSY-state-adjusted'!Y8</f>
        <v>1.2947430110899489</v>
      </c>
      <c r="Z5">
        <f>'BCDTRtSY-state-adjusted'!Z8</f>
        <v>1.2932895389631531</v>
      </c>
      <c r="AA5">
        <f>'BCDTRtSY-state-adjusted'!AA8</f>
        <v>1.2914406877301539</v>
      </c>
      <c r="AB5">
        <f>'BCDTRtSY-state-adjusted'!AB8</f>
        <v>1.2893000429697381</v>
      </c>
    </row>
    <row r="6" spans="1:28">
      <c r="A6" t="s">
        <v>122</v>
      </c>
      <c r="B6">
        <f>'BCDTRtSY-state-adjusted'!B9</f>
        <v>1</v>
      </c>
      <c r="C6">
        <f>'BCDTRtSY-state-adjusted'!C9</f>
        <v>1</v>
      </c>
      <c r="D6">
        <f>'BCDTRtSY-state-adjusted'!D9</f>
        <v>1.0000805706936564</v>
      </c>
      <c r="E6">
        <f>'BCDTRtSY-state-adjusted'!E9</f>
        <v>0.99311311536869173</v>
      </c>
      <c r="F6">
        <f>'BCDTRtSY-state-adjusted'!F9</f>
        <v>0.98025099533990878</v>
      </c>
      <c r="G6">
        <f>'BCDTRtSY-state-adjusted'!G9</f>
        <v>0.96986260359228493</v>
      </c>
      <c r="H6">
        <f>'BCDTRtSY-state-adjusted'!H9</f>
        <v>0.96178507859162821</v>
      </c>
      <c r="I6">
        <f>'BCDTRtSY-state-adjusted'!I9</f>
        <v>0.95104790280788976</v>
      </c>
      <c r="J6">
        <f>'BCDTRtSY-state-adjusted'!J9</f>
        <v>0.94267269496389849</v>
      </c>
      <c r="K6">
        <f>'BCDTRtSY-state-adjusted'!K9</f>
        <v>0.93551842796186468</v>
      </c>
      <c r="L6">
        <f>'BCDTRtSY-state-adjusted'!L9</f>
        <v>0.92961422086086221</v>
      </c>
      <c r="M6">
        <f>'BCDTRtSY-state-adjusted'!M9</f>
        <v>0.92500035012198245</v>
      </c>
      <c r="N6">
        <f>'BCDTRtSY-state-adjusted'!N9</f>
        <v>0.91754399890898852</v>
      </c>
      <c r="O6">
        <f>'BCDTRtSY-state-adjusted'!O9</f>
        <v>0.91016993354219833</v>
      </c>
      <c r="P6">
        <f>'BCDTRtSY-state-adjusted'!P9</f>
        <v>0.90268428682284674</v>
      </c>
      <c r="Q6">
        <f>'BCDTRtSY-state-adjusted'!Q9</f>
        <v>0.89517774060257427</v>
      </c>
      <c r="R6">
        <f>'BCDTRtSY-state-adjusted'!R9</f>
        <v>0.88780581310191442</v>
      </c>
      <c r="S6">
        <f>'BCDTRtSY-state-adjusted'!S9</f>
        <v>0.87954612113602437</v>
      </c>
      <c r="T6">
        <f>'BCDTRtSY-state-adjusted'!T9</f>
        <v>0.87173322277550114</v>
      </c>
      <c r="U6">
        <f>'BCDTRtSY-state-adjusted'!U9</f>
        <v>0.86424100890336331</v>
      </c>
      <c r="V6">
        <f>'BCDTRtSY-state-adjusted'!V9</f>
        <v>0.8567908706144981</v>
      </c>
      <c r="W6">
        <f>'BCDTRtSY-state-adjusted'!W9</f>
        <v>0.84935221960868279</v>
      </c>
      <c r="X6">
        <f>'BCDTRtSY-state-adjusted'!X9</f>
        <v>0.84152179987867759</v>
      </c>
      <c r="Y6">
        <f>'BCDTRtSY-state-adjusted'!Y9</f>
        <v>0.83313859201754992</v>
      </c>
      <c r="Z6">
        <f>'BCDTRtSY-state-adjusted'!Z9</f>
        <v>0.82467595400958216</v>
      </c>
      <c r="AA6">
        <f>'BCDTRtSY-state-adjusted'!AA9</f>
        <v>0.81592142548594793</v>
      </c>
      <c r="AB6">
        <f>'BCDTRtSY-state-adjusted'!AB9</f>
        <v>0.80746758479884528</v>
      </c>
    </row>
    <row r="7" spans="1:28">
      <c r="A7" t="s">
        <v>123</v>
      </c>
      <c r="B7">
        <f>'BCDTRtSY-state-adjusted'!B10</f>
        <v>1</v>
      </c>
      <c r="C7">
        <f>'BCDTRtSY-state-adjusted'!C10</f>
        <v>1</v>
      </c>
      <c r="D7">
        <f>'BCDTRtSY-state-adjusted'!D10</f>
        <v>1.0040174277780216</v>
      </c>
      <c r="E7">
        <f>'BCDTRtSY-state-adjusted'!E10</f>
        <v>1.0102171534485802</v>
      </c>
      <c r="F7">
        <f>'BCDTRtSY-state-adjusted'!F10</f>
        <v>1.013483773383439</v>
      </c>
      <c r="G7">
        <f>'BCDTRtSY-state-adjusted'!G10</f>
        <v>1.0165429453709278</v>
      </c>
      <c r="H7">
        <f>'BCDTRtSY-state-adjusted'!H10</f>
        <v>1.0185797394165461</v>
      </c>
      <c r="I7">
        <f>'BCDTRtSY-state-adjusted'!I10</f>
        <v>1.0183226065082305</v>
      </c>
      <c r="J7">
        <f>'BCDTRtSY-state-adjusted'!J10</f>
        <v>1.0181081427535097</v>
      </c>
      <c r="K7">
        <f>'BCDTRtSY-state-adjusted'!K10</f>
        <v>1.0163834226640835</v>
      </c>
      <c r="L7">
        <f>'BCDTRtSY-state-adjusted'!L10</f>
        <v>1.015011031190779</v>
      </c>
      <c r="M7">
        <f>'BCDTRtSY-state-adjusted'!M10</f>
        <v>1.0127564898090331</v>
      </c>
      <c r="N7">
        <f>'BCDTRtSY-state-adjusted'!N10</f>
        <v>1.0112897980107076</v>
      </c>
      <c r="O7">
        <f>'BCDTRtSY-state-adjusted'!O10</f>
        <v>1.0102601825773392</v>
      </c>
      <c r="P7">
        <f>'BCDTRtSY-state-adjusted'!P10</f>
        <v>1.0092016554021781</v>
      </c>
      <c r="Q7">
        <f>'BCDTRtSY-state-adjusted'!Q10</f>
        <v>1.0074485316408699</v>
      </c>
      <c r="R7">
        <f>'BCDTRtSY-state-adjusted'!R10</f>
        <v>1.0059191208554683</v>
      </c>
      <c r="S7">
        <f>'BCDTRtSY-state-adjusted'!S10</f>
        <v>1.0035963915316002</v>
      </c>
      <c r="T7">
        <f>'BCDTRtSY-state-adjusted'!T10</f>
        <v>1.001019579283537</v>
      </c>
      <c r="U7">
        <f>'BCDTRtSY-state-adjusted'!U10</f>
        <v>0.99822369357124197</v>
      </c>
      <c r="V7">
        <f>'BCDTRtSY-state-adjusted'!V10</f>
        <v>0.99574766690069072</v>
      </c>
      <c r="W7">
        <f>'BCDTRtSY-state-adjusted'!W10</f>
        <v>0.99314791626043131</v>
      </c>
      <c r="X7">
        <f>'BCDTRtSY-state-adjusted'!X10</f>
        <v>0.99011561531143111</v>
      </c>
      <c r="Y7">
        <f>'BCDTRtSY-state-adjusted'!Y10</f>
        <v>0.98640450357428699</v>
      </c>
      <c r="Z7">
        <f>'BCDTRtSY-state-adjusted'!Z10</f>
        <v>0.9826548102915208</v>
      </c>
      <c r="AA7">
        <f>'BCDTRtSY-state-adjusted'!AA10</f>
        <v>0.97877059224774621</v>
      </c>
      <c r="AB7">
        <f>'BCDTRtSY-state-adjusted'!AB10</f>
        <v>0.97526588148208293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0.9942333514645505</v>
      </c>
      <c r="E2">
        <f>'BCDTRtSY-state-adjusted'!E13</f>
        <v>0.99393750512588286</v>
      </c>
      <c r="F2">
        <f>'BCDTRtSY-state-adjusted'!F13</f>
        <v>0.99328283538835294</v>
      </c>
      <c r="G2">
        <f>'BCDTRtSY-state-adjusted'!G13</f>
        <v>0.99380051346805698</v>
      </c>
      <c r="H2">
        <f>'BCDTRtSY-state-adjusted'!H13</f>
        <v>0.99907174859587544</v>
      </c>
      <c r="I2">
        <f>'BCDTRtSY-state-adjusted'!I13</f>
        <v>1.0005954879970946</v>
      </c>
      <c r="J2">
        <f>'BCDTRtSY-state-adjusted'!J13</f>
        <v>1.0038860950242614</v>
      </c>
      <c r="K2">
        <f>'BCDTRtSY-state-adjusted'!K13</f>
        <v>1.0058836219792493</v>
      </c>
      <c r="L2">
        <f>'BCDTRtSY-state-adjusted'!L13</f>
        <v>1.0097713625897042</v>
      </c>
      <c r="M2">
        <f>'BCDTRtSY-state-adjusted'!M13</f>
        <v>1.0143347684019541</v>
      </c>
      <c r="N2">
        <f>'BCDTRtSY-state-adjusted'!N13</f>
        <v>1.0192092348331891</v>
      </c>
      <c r="O2">
        <f>'BCDTRtSY-state-adjusted'!O13</f>
        <v>1.0252945920204579</v>
      </c>
      <c r="P2">
        <f>'BCDTRtSY-state-adjusted'!P13</f>
        <v>1.0325522082634206</v>
      </c>
      <c r="Q2">
        <f>'BCDTRtSY-state-adjusted'!Q13</f>
        <v>1.0401315623886029</v>
      </c>
      <c r="R2">
        <f>'BCDTRtSY-state-adjusted'!R13</f>
        <v>1.0481734521288137</v>
      </c>
      <c r="S2">
        <f>'BCDTRtSY-state-adjusted'!S13</f>
        <v>1.0549490239981605</v>
      </c>
      <c r="T2">
        <f>'BCDTRtSY-state-adjusted'!T13</f>
        <v>1.0610866321394155</v>
      </c>
      <c r="U2">
        <f>'BCDTRtSY-state-adjusted'!U13</f>
        <v>1.0647143689841692</v>
      </c>
      <c r="V2">
        <f>'BCDTRtSY-state-adjusted'!V13</f>
        <v>1.0680542106992841</v>
      </c>
      <c r="W2">
        <f>'BCDTRtSY-state-adjusted'!W13</f>
        <v>1.0726673386510766</v>
      </c>
      <c r="X2">
        <f>'BCDTRtSY-state-adjusted'!X13</f>
        <v>1.077691696341802</v>
      </c>
      <c r="Y2">
        <f>'BCDTRtSY-state-adjusted'!Y13</f>
        <v>1.0833294472347734</v>
      </c>
      <c r="Z2">
        <f>'BCDTRtSY-state-adjusted'!Z13</f>
        <v>1.0877158208730762</v>
      </c>
      <c r="AA2">
        <f>'BCDTRtSY-state-adjusted'!AA13</f>
        <v>1.0928046378731364</v>
      </c>
      <c r="AB2">
        <f>'BCDTRtSY-state-adjusted'!AB13</f>
        <v>1.0971403703640252</v>
      </c>
    </row>
    <row r="3" spans="1:28">
      <c r="A3" t="s">
        <v>118</v>
      </c>
      <c r="B3">
        <f>'BCDTRtSY-state-adjusted'!B14</f>
        <v>1</v>
      </c>
      <c r="C3">
        <f>'BCDTRtSY-state-adjusted'!C14</f>
        <v>1</v>
      </c>
      <c r="D3">
        <f>'BCDTRtSY-state-adjusted'!D14</f>
        <v>1.008850265150004</v>
      </c>
      <c r="E3">
        <f>'BCDTRtSY-state-adjusted'!E14</f>
        <v>1.0219024795237666</v>
      </c>
      <c r="F3">
        <f>'BCDTRtSY-state-adjusted'!F14</f>
        <v>1.0340595058304003</v>
      </c>
      <c r="G3">
        <f>'BCDTRtSY-state-adjusted'!G14</f>
        <v>1.0436054139292357</v>
      </c>
      <c r="H3">
        <f>'BCDTRtSY-state-adjusted'!H14</f>
        <v>1.0554858589898628</v>
      </c>
      <c r="I3">
        <f>'BCDTRtSY-state-adjusted'!I14</f>
        <v>1.0604384304916503</v>
      </c>
      <c r="J3">
        <f>'BCDTRtSY-state-adjusted'!J14</f>
        <v>1.0662616095095576</v>
      </c>
      <c r="K3">
        <f>'BCDTRtSY-state-adjusted'!K14</f>
        <v>1.069889689002635</v>
      </c>
      <c r="L3">
        <f>'BCDTRtSY-state-adjusted'!L14</f>
        <v>1.0747288673279189</v>
      </c>
      <c r="M3">
        <f>'BCDTRtSY-state-adjusted'!M14</f>
        <v>1.0794040499923108</v>
      </c>
      <c r="N3">
        <f>'BCDTRtSY-state-adjusted'!N14</f>
        <v>1.0832643667108492</v>
      </c>
      <c r="O3">
        <f>'BCDTRtSY-state-adjusted'!O14</f>
        <v>1.0864171224462627</v>
      </c>
      <c r="P3">
        <f>'BCDTRtSY-state-adjusted'!P14</f>
        <v>1.0885624377251231</v>
      </c>
      <c r="Q3">
        <f>'BCDTRtSY-state-adjusted'!Q14</f>
        <v>1.0901372548242982</v>
      </c>
      <c r="R3">
        <f>'BCDTRtSY-state-adjusted'!R14</f>
        <v>1.091870425071825</v>
      </c>
      <c r="S3">
        <f>'BCDTRtSY-state-adjusted'!S14</f>
        <v>1.0930576949902659</v>
      </c>
      <c r="T3">
        <f>'BCDTRtSY-state-adjusted'!T14</f>
        <v>1.0937111592001325</v>
      </c>
      <c r="U3">
        <f>'BCDTRtSY-state-adjusted'!U14</f>
        <v>1.0933670068037173</v>
      </c>
      <c r="V3">
        <f>'BCDTRtSY-state-adjusted'!V14</f>
        <v>1.0933120428596157</v>
      </c>
      <c r="W3">
        <f>'BCDTRtSY-state-adjusted'!W14</f>
        <v>1.0950341649814583</v>
      </c>
      <c r="X3">
        <f>'BCDTRtSY-state-adjusted'!X14</f>
        <v>1.0969313915392893</v>
      </c>
      <c r="Y3">
        <f>'BCDTRtSY-state-adjusted'!Y14</f>
        <v>1.0987114133131506</v>
      </c>
      <c r="Z3">
        <f>'BCDTRtSY-state-adjusted'!Z14</f>
        <v>1.0984499300603738</v>
      </c>
      <c r="AA3">
        <f>'BCDTRtSY-state-adjusted'!AA14</f>
        <v>1.0981012430419526</v>
      </c>
      <c r="AB3">
        <f>'BCDTRtSY-state-adjusted'!AB14</f>
        <v>1.0972059212752872</v>
      </c>
    </row>
    <row r="4" spans="1:28">
      <c r="A4" t="s">
        <v>116</v>
      </c>
      <c r="B4">
        <f>'BCDTRtSY-state-adjusted'!B15</f>
        <v>1</v>
      </c>
      <c r="C4">
        <f>'BCDTRtSY-state-adjusted'!C15</f>
        <v>1</v>
      </c>
      <c r="D4">
        <f>'BCDTRtSY-state-adjusted'!D15</f>
        <v>1.0248900603107309</v>
      </c>
      <c r="E4">
        <f>'BCDTRtSY-state-adjusted'!E15</f>
        <v>1.0419635955286093</v>
      </c>
      <c r="F4">
        <f>'BCDTRtSY-state-adjusted'!F15</f>
        <v>1.0525588395305903</v>
      </c>
      <c r="G4">
        <f>'BCDTRtSY-state-adjusted'!G15</f>
        <v>1.0668016532306814</v>
      </c>
      <c r="H4">
        <f>'BCDTRtSY-state-adjusted'!H15</f>
        <v>1.083964292721598</v>
      </c>
      <c r="I4">
        <f>'BCDTRtSY-state-adjusted'!I15</f>
        <v>1.0981139359296137</v>
      </c>
      <c r="J4">
        <f>'BCDTRtSY-state-adjusted'!J15</f>
        <v>1.1152392840925023</v>
      </c>
      <c r="K4">
        <f>'BCDTRtSY-state-adjusted'!K15</f>
        <v>1.1336950034928506</v>
      </c>
      <c r="L4">
        <f>'BCDTRtSY-state-adjusted'!L15</f>
        <v>1.1537702461829522</v>
      </c>
      <c r="M4">
        <f>'BCDTRtSY-state-adjusted'!M15</f>
        <v>1.1755636928181803</v>
      </c>
      <c r="N4">
        <f>'BCDTRtSY-state-adjusted'!N15</f>
        <v>1.1928335698601218</v>
      </c>
      <c r="O4">
        <f>'BCDTRtSY-state-adjusted'!O15</f>
        <v>1.2101749670946469</v>
      </c>
      <c r="P4">
        <f>'BCDTRtSY-state-adjusted'!P15</f>
        <v>1.2273688496466708</v>
      </c>
      <c r="Q4">
        <f>'BCDTRtSY-state-adjusted'!Q15</f>
        <v>1.2439187801387634</v>
      </c>
      <c r="R4">
        <f>'BCDTRtSY-state-adjusted'!R15</f>
        <v>1.2607851962365195</v>
      </c>
      <c r="S4">
        <f>'BCDTRtSY-state-adjusted'!S15</f>
        <v>1.2764056561710981</v>
      </c>
      <c r="T4">
        <f>'BCDTRtSY-state-adjusted'!T15</f>
        <v>1.2927139101857374</v>
      </c>
      <c r="U4">
        <f>'BCDTRtSY-state-adjusted'!U15</f>
        <v>1.3098648864643831</v>
      </c>
      <c r="V4">
        <f>'BCDTRtSY-state-adjusted'!V15</f>
        <v>1.3269398770637904</v>
      </c>
      <c r="W4">
        <f>'BCDTRtSY-state-adjusted'!W15</f>
        <v>1.3440742939234123</v>
      </c>
      <c r="X4">
        <f>'BCDTRtSY-state-adjusted'!X15</f>
        <v>1.3605282983263736</v>
      </c>
      <c r="Y4">
        <f>'BCDTRtSY-state-adjusted'!Y15</f>
        <v>1.3756859390784131</v>
      </c>
      <c r="Z4">
        <f>'BCDTRtSY-state-adjusted'!Z15</f>
        <v>1.3909502347392297</v>
      </c>
      <c r="AA4">
        <f>'BCDTRtSY-state-adjusted'!AA15</f>
        <v>1.4055195874412887</v>
      </c>
      <c r="AB4">
        <f>'BCDTRtSY-state-adjusted'!AB15</f>
        <v>1.420416552509572</v>
      </c>
    </row>
    <row r="5" spans="1:28">
      <c r="A5" t="s">
        <v>121</v>
      </c>
      <c r="B5">
        <f>'BCDTRtSY-state-adjusted'!B16</f>
        <v>1</v>
      </c>
      <c r="C5">
        <f>'BCDTRtSY-state-adjusted'!C16</f>
        <v>1</v>
      </c>
      <c r="D5">
        <f>'BCDTRtSY-state-adjusted'!D16</f>
        <v>0.97542436927579534</v>
      </c>
      <c r="E5">
        <f>'BCDTRtSY-state-adjusted'!E16</f>
        <v>1.0049681770300385</v>
      </c>
      <c r="F5">
        <f>'BCDTRtSY-state-adjusted'!F16</f>
        <v>0.98250509903933414</v>
      </c>
      <c r="G5">
        <f>'BCDTRtSY-state-adjusted'!G16</f>
        <v>0.9729244363525611</v>
      </c>
      <c r="H5">
        <f>'BCDTRtSY-state-adjusted'!H16</f>
        <v>0.97757908399130777</v>
      </c>
      <c r="I5">
        <f>'BCDTRtSY-state-adjusted'!I16</f>
        <v>0.94852415456498995</v>
      </c>
      <c r="J5">
        <f>'BCDTRtSY-state-adjusted'!J16</f>
        <v>0.94852752250457351</v>
      </c>
      <c r="K5">
        <f>'BCDTRtSY-state-adjusted'!K16</f>
        <v>0.94866763245971764</v>
      </c>
      <c r="L5">
        <f>'BCDTRtSY-state-adjusted'!L16</f>
        <v>0.94203831885023936</v>
      </c>
      <c r="M5">
        <f>'BCDTRtSY-state-adjusted'!M16</f>
        <v>0.9411879996601431</v>
      </c>
      <c r="N5">
        <f>'BCDTRtSY-state-adjusted'!N16</f>
        <v>0.93950358735640938</v>
      </c>
      <c r="O5">
        <f>'BCDTRtSY-state-adjusted'!O16</f>
        <v>0.93915290455043332</v>
      </c>
      <c r="P5">
        <f>'BCDTRtSY-state-adjusted'!P16</f>
        <v>0.9356473289364432</v>
      </c>
      <c r="Q5">
        <f>'BCDTRtSY-state-adjusted'!Q16</f>
        <v>0.93366065106306118</v>
      </c>
      <c r="R5">
        <f>'BCDTRtSY-state-adjusted'!R16</f>
        <v>0.93073307626497126</v>
      </c>
      <c r="S5">
        <f>'BCDTRtSY-state-adjusted'!S16</f>
        <v>0.92582254360049232</v>
      </c>
      <c r="T5">
        <f>'BCDTRtSY-state-adjusted'!T16</f>
        <v>0.91892370937893564</v>
      </c>
      <c r="U5">
        <f>'BCDTRtSY-state-adjusted'!U16</f>
        <v>0.91266353531239675</v>
      </c>
      <c r="V5">
        <f>'BCDTRtSY-state-adjusted'!V16</f>
        <v>0.90875892870900876</v>
      </c>
      <c r="W5">
        <f>'BCDTRtSY-state-adjusted'!W16</f>
        <v>0.90430968131630218</v>
      </c>
      <c r="X5">
        <f>'BCDTRtSY-state-adjusted'!X16</f>
        <v>0.90222536569593348</v>
      </c>
      <c r="Y5">
        <f>'BCDTRtSY-state-adjusted'!Y16</f>
        <v>0.90355506534204078</v>
      </c>
      <c r="Z5">
        <f>'BCDTRtSY-state-adjusted'!Z16</f>
        <v>0.9024343363409757</v>
      </c>
      <c r="AA5">
        <f>'BCDTRtSY-state-adjusted'!AA16</f>
        <v>0.89590592863989726</v>
      </c>
      <c r="AB5">
        <f>'BCDTRtSY-state-adjusted'!AB16</f>
        <v>0.89002374670375872</v>
      </c>
    </row>
    <row r="6" spans="1:28">
      <c r="A6" t="s">
        <v>122</v>
      </c>
      <c r="B6">
        <f>'BCDTRtSY-state-adjusted'!B17</f>
        <v>1</v>
      </c>
      <c r="C6">
        <f>'BCDTRtSY-state-adjusted'!C17</f>
        <v>1</v>
      </c>
      <c r="D6">
        <f>'BCDTRtSY-state-adjusted'!D17</f>
        <v>0.99026761321694767</v>
      </c>
      <c r="E6">
        <f>'BCDTRtSY-state-adjusted'!E17</f>
        <v>1.0074753043859239</v>
      </c>
      <c r="F6">
        <f>'BCDTRtSY-state-adjusted'!F17</f>
        <v>1.026638481476045</v>
      </c>
      <c r="G6">
        <f>'BCDTRtSY-state-adjusted'!G17</f>
        <v>1.0423935659596983</v>
      </c>
      <c r="H6">
        <f>'BCDTRtSY-state-adjusted'!H17</f>
        <v>1.0590123732818075</v>
      </c>
      <c r="I6">
        <f>'BCDTRtSY-state-adjusted'!I17</f>
        <v>1.071628822417112</v>
      </c>
      <c r="J6">
        <f>'BCDTRtSY-state-adjusted'!J17</f>
        <v>1.08615120247188</v>
      </c>
      <c r="K6">
        <f>'BCDTRtSY-state-adjusted'!K17</f>
        <v>1.1008353001144555</v>
      </c>
      <c r="L6">
        <f>'BCDTRtSY-state-adjusted'!L17</f>
        <v>1.116095395531596</v>
      </c>
      <c r="M6">
        <f>'BCDTRtSY-state-adjusted'!M17</f>
        <v>1.1322061553752187</v>
      </c>
      <c r="N6">
        <f>'BCDTRtSY-state-adjusted'!N17</f>
        <v>1.1442801760016146</v>
      </c>
      <c r="O6">
        <f>'BCDTRtSY-state-adjusted'!O17</f>
        <v>1.1530078595959126</v>
      </c>
      <c r="P6">
        <f>'BCDTRtSY-state-adjusted'!P17</f>
        <v>1.1616434117830008</v>
      </c>
      <c r="Q6">
        <f>'BCDTRtSY-state-adjusted'!Q17</f>
        <v>1.1690595933339298</v>
      </c>
      <c r="R6">
        <f>'BCDTRtSY-state-adjusted'!R17</f>
        <v>1.1764805019498525</v>
      </c>
      <c r="S6">
        <f>'BCDTRtSY-state-adjusted'!S17</f>
        <v>1.1831520852575963</v>
      </c>
      <c r="T6">
        <f>'BCDTRtSY-state-adjusted'!T17</f>
        <v>1.1907554739350454</v>
      </c>
      <c r="U6">
        <f>'BCDTRtSY-state-adjusted'!U17</f>
        <v>1.1978706459458639</v>
      </c>
      <c r="V6">
        <f>'BCDTRtSY-state-adjusted'!V17</f>
        <v>1.2047595835068843</v>
      </c>
      <c r="W6">
        <f>'BCDTRtSY-state-adjusted'!W17</f>
        <v>1.2128367909525537</v>
      </c>
      <c r="X6">
        <f>'BCDTRtSY-state-adjusted'!X17</f>
        <v>1.2209666038302225</v>
      </c>
      <c r="Y6">
        <f>'BCDTRtSY-state-adjusted'!Y17</f>
        <v>1.2291805050302171</v>
      </c>
      <c r="Z6">
        <f>'BCDTRtSY-state-adjusted'!Z17</f>
        <v>1.2365827781716705</v>
      </c>
      <c r="AA6">
        <f>'BCDTRtSY-state-adjusted'!AA17</f>
        <v>1.2436101176462235</v>
      </c>
      <c r="AB6">
        <f>'BCDTRtSY-state-adjusted'!AB17</f>
        <v>1.2518784496568136</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2026-08-14T21:49:24Z</dcterms:modified>
</cp:coreProperties>
</file>