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Keys" sheetId="2" state="visible" r:id="rId2"/>
    <sheet name="1_Source_IndustryOutput" sheetId="3" state="visible" r:id="rId3"/>
    <sheet name="Src_Stateior_SoI_Make" sheetId="4" state="visible" r:id="rId4"/>
    <sheet name="Src_Disagg_EIA_coal" sheetId="5" state="visible" r:id="rId5"/>
    <sheet name="Src_Disagg_heuristics" sheetId="6" state="visible" r:id="rId6"/>
    <sheet name="Crosswalk_BEA_to_ISIC" sheetId="7" state="visible" r:id="rId7"/>
    <sheet name="State_disagg_splits" sheetId="8" state="visible" r:id="rId8"/>
    <sheet name="NAICS_to_ISIC_Key" sheetId="9" state="visible" r:id="rId9"/>
    <sheet name="5_Calc_ISIC_aggregation" sheetId="10" state="visible" r:id="rId10"/>
    <sheet name="BObIC" sheetId="11" state="visible" r:id="rId11"/>
  </sheets>
  <calcPr calcId="191029" fullCalcOnLoad="1"/>
</workbook>
</file>

<file path=xl/sharedStrings.xml><?xml version="1.0" encoding="utf-8"?>
<sst xmlns="http://schemas.openxmlformats.org/spreadsheetml/2006/main" count="583" uniqueCount="583">
  <si>
    <t xml:space="preserve">BObIC - BAU Output by ISIC Code</t>
  </si>
  <si>
    <t xml:space="preserve"/>
  </si>
  <si>
    <t xml:space="preserve">State: Ohio (OH)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</si>
  <si>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</si>
  <si>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</si>
  <si>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</si>
  <si>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State industry output is pulled directly from EPA stateior's two-region</t>
  </si>
  <si>
    <t xml:space="preserve">(State of Interest vs. Rest of US) MRIO accounts, at BEA Summary sector</t>
  </si>
  <si>
    <t xml:space="preserve">resolution. Stateior combines BEA national Make/Use tables with FAF</t>
  </si>
  <si>
    <t xml:space="preserve">(Freight Analysis Framework) for goods trade and cluster-based RPC</t>
  </si>
  <si>
    <t xml:space="preserve">estimation for services to construct state-level output by industry.</t>
  </si>
  <si>
    <t xml:space="preserve">BEA Summary codes are aggregated to the 42-ISIC scheme via the canonical</t>
  </si>
  <si>
    <t xml:space="preserve">crosswalk (see 'Crosswalk_BEA_to_ISIC' tab). Five BEA Summary sectors</t>
  </si>
  <si>
    <t xml:space="preserve">(22 utilities, 212 mining, 325 chemicals, 327 nonmetallic, 331 primary</t>
  </si>
  <si>
    <t xml:space="preserve">metals, 513 broadcasting/telecom) are disaggregated to the finer ISIC</t>
  </si>
  <si>
    <t xml:space="preserve">children using state-specific ratios (see 'State_disagg_splits' tab).</t>
  </si>
  <si>
    <t xml:space="preserve">Values are deflated from stateior's nominal 2019 USD to 2012 USD to</t>
  </si>
  <si>
    <t xml:space="preserve">match the EPS convention.</t>
  </si>
  <si>
    <t xml:space="preserve">In-workbook derivation</t>
  </si>
  <si>
    <t xml:space="preserve">----------------------</t>
  </si>
  <si>
    <t xml:space="preserve">The output tab is computed by Excel formulas, not pasted values. On the calc</t>
  </si>
  <si>
    <t xml:space="preserve">tab, STEP 1 pulls each BEA Summary value from the source tab via INDEX/MATCH</t>
  </si>
  <si>
    <t xml:space="preserve">and multiplies it by that mapping's allocation weight; STEP 2 SUMIFS the</t>
  </si>
  <si>
    <t xml:space="preserve">weighted values to the 42 ISIC codes and divides by the deflator (Keys!$C$2)</t>
  </si>
  <si>
    <t xml:space="preserve">to express the result in 2012 USD. Edit any source or Keys cell and the</t>
  </si>
  <si>
    <t xml:space="preserve">output recomputes.</t>
  </si>
  <si>
    <t xml:space="preserve">Allocation weights (the BEA -&gt; ISIC crosswalk)</t>
  </si>
  <si>
    <t xml:space="preserve">----------------------------------------------</t>
  </si>
  <si>
    <t xml:space="preserve">Each BEA Summary sector's value is mapped to the 42-ISIC scheme via the</t>
  </si>
  <si>
    <t xml:space="preserve">'2_Crosswalk_BEA_to_ISIC' tab. allocation_weight (STEP 1, column C of the</t>
  </si>
  <si>
    <t xml:space="preserve">calc tab) is the fraction of a BEA sector assigned to each ISIC code; the</t>
  </si>
  <si>
    <t xml:space="preserve">weights for any one BEA code always sum to 1.0.</t>
  </si>
  <si>
    <t xml:space="preserve">Most BEA codes map 1:1 to a single ISIC with weight = 1.0 - a definitional</t>
  </si>
  <si>
    <t xml:space="preserve">mapping, not an assumption. Seven BEA sectors are SPLIT across multiple ISIC</t>
  </si>
  <si>
    <t xml:space="preserve">codes, in two groups:</t>
  </si>
  <si>
    <t xml:space="preserve">A. State-specific, data-derived splits - recomputed for each state (see the</t>
  </si>
  <si>
    <t xml:space="preserve">   '3_State_disagg_splits' tab for the ratio + data source used for THIS</t>
  </si>
  <si>
    <t xml:space="preserve">   state, and its provenance):</t>
  </si>
  <si>
    <t xml:space="preserve">     212 mining         -&gt; 05 coal + 07T08 other mining.</t>
  </si>
  <si>
    <t xml:space="preserve">         weight = coal / (coal + nonfuel) mine value, from EIA-7A coal +</t>
  </si>
  <si>
    <t xml:space="preserve">         USGS Minerals Yearbook nonfuel production value, each deflated to</t>
  </si>
  <si>
    <t xml:space="preserve">         2012 USD so the ratio is vintage-consistent.</t>
  </si>
  <si>
    <t xml:space="preserve">     325 chemicals      -&gt; 20 basic chemicals + 21 pharmaceuticals</t>
  </si>
  <si>
    <t xml:space="preserve">     327 nonmetallic    -&gt; 231 glass + 239 cement/other</t>
  </si>
  <si>
    <t xml:space="preserve">     331 primary metals -&gt; 241 iron &amp; steel + 242 other metals</t>
  </si>
  <si>
    <t xml:space="preserve">         (325/327/331: Census ASM value-added shares where available, else</t>
  </si>
  <si>
    <t xml:space="preserve">          EPA GHGRP facility/emissions proxies, else documented heuristics.)</t>
  </si>
  <si>
    <t xml:space="preserve">B. Fixed national splits - the same weights for every state, carried in the</t>
  </si>
  <si>
    <t xml:space="preserve">   base crosswalk (not state-specific):</t>
  </si>
  <si>
    <t xml:space="preserve">     22  utilities                  -&gt; 351 power + 352T353 gas + 36T39 water</t>
  </si>
  <si>
    <t xml:space="preserve">     324 petroleum &amp; coal products  -&gt; 19 refining + 241 iron &amp; steel (coke)</t>
  </si>
  <si>
    <t xml:space="preserve">     513 information                -&gt; 58T60 media + 61 telecommunications</t>
  </si>
  <si>
    <t xml:space="preserve">So the ISIC detail is only as fine as these weights: group-A weights carry</t>
  </si>
  <si>
    <t xml:space="preserve">this state's industry mix; group-B weights are national constants.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</si>
  <si>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</si>
  <si>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</si>
  <si>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</si>
  <si>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</si>
  <si>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</si>
  <si>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</si>
  <si>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</si>
  <si>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</si>
  <si>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</si>
  <si>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</si>
  <si>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</si>
  <si>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</si>
  <si>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</si>
  <si>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</si>
  <si>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</si>
  <si>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</si>
  <si>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</si>
  <si>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</si>
  <si>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</si>
  <si>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</si>
  <si>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</si>
  <si>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</si>
  <si>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</si>
  <si>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</si>
  <si>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</si>
  <si>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</si>
  <si>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</si>
  <si>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</si>
  <si>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</si>
  <si>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</si>
  <si>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</si>
  <si>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</si>
  <si>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</si>
  <si>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</si>
  <si>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</si>
  <si>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</si>
  <si>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</si>
  <si>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</si>
  <si>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</si>
  <si>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</si>
  <si>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</si>
  <si>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</si>
  <si>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</si>
  <si>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</si>
  <si>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</si>
  <si>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</si>
  <si>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</si>
  <si>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</si>
  <si>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</si>
  <si>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</si>
  <si>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</si>
  <si>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The BObIC output tab is FORMULA-DERIVED from the raw source tabs (Excel</t>
  </si>
  <si>
    <t xml:space="preserve">formulas, not pasted values): edit a source cell and it recomputes.</t>
  </si>
  <si>
    <t xml:space="preserve">Tabs:</t>
  </si>
  <si>
    <t xml:space="preserve">  - About (this tab)</t>
  </si>
  <si>
    <t xml:space="preserve">  - Keys - constants (category|key|value|description); formulas ref Keys!$C$2</t>
  </si>
  <si>
    <t xml:space="preserve">  - 1_Source_IndustryOutput - raw stateior output per BEA Summary code</t>
  </si>
  <si>
    <t xml:space="preserve">  - Src_Stateior_SoI_Make - full 71x73 state SoI Make matrix (raw)</t>
  </si>
  <si>
    <t xml:space="preserve">  - Src_Disagg_EIA_coal / Src_Disagg_heuristics - disagg source data</t>
  </si>
  <si>
    <t xml:space="preserve">  - 2_Crosswalk_BEA_to_ISIC - canonical + state overrides (weights sum to 1/BEA)</t>
  </si>
  <si>
    <t xml:space="preserve">  - 3_State_disagg_splits - 5 disagg ratios for this state</t>
  </si>
  <si>
    <t xml:space="preserve">  - 4_NAICS_to_ISIC_Key - 42-ISIC scheme reference</t>
  </si>
  <si>
    <t xml:space="preserve">  - 5_Calc_ISIC_aggregation - STEP 1: INDEX/MATCH each BEA value x weight;</t>
  </si>
  <si>
    <t xml:space="preserve">        STEP 2: SUMIFS to 42 ISIC, then / Keys deflator -&gt; 2012 USD</t>
  </si>
  <si>
    <t xml:space="preserve">  - BObIC - looks up each ISIC's STEP 2 value (matches BObIC.csv)</t>
  </si>
  <si>
    <t xml:space="preserve">category</t>
  </si>
  <si>
    <t xml:space="preserve">key</t>
  </si>
  <si>
    <t xml:space="preserve">value</t>
  </si>
  <si>
    <t xml:space="preserve">description</t>
  </si>
  <si>
    <t xml:space="preserve">deflator</t>
  </si>
  <si>
    <t xml:space="preserve">deflator_nominal_to_2012</t>
  </si>
  <si>
    <t xml:space="preserve">Divide nominal 2019 USD by this to get 2012 USD. BEA chained GDP price index; 2012 = 100.000, 2019 = 112.266</t>
  </si>
  <si>
    <t xml:space="preserve">year</t>
  </si>
  <si>
    <t xml:space="preserve">base_year</t>
  </si>
  <si>
    <t xml:space="preserve">stateior base year; nominal-USD vintage of the source tabs</t>
  </si>
  <si>
    <t xml:space="preserve">numeric</t>
  </si>
  <si>
    <t xml:space="preserve">epsilon_div_floor</t>
  </si>
  <si>
    <t xml:space="preserve">Denominator floor for ratio outputs (DCS, ESoP): x/MAX(den, epsilon) avoids div-by-zero; mirrors pmax(den, 1e-9) in the R pipeline</t>
  </si>
  <si>
    <t xml:space="preserve">fogp_denom_floor_usd</t>
  </si>
  <si>
    <t xml:space="preserve">FoGP-entity denominator floor: total purchases per category floored at $1 (mirrors pmax(total, 1)); near-zero totals give near-zero fractions</t>
  </si>
  <si>
    <t xml:space="preserve">BEA_Summary_code</t>
  </si>
  <si>
    <t xml:space="preserve">output_USD_2019nominal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</si>
  <si>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</si>
  <si>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</si>
  <si>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</si>
  <si>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</si>
  <si>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</si>
  <si>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</si>
  <si>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</si>
  <si>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</si>
  <si>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</si>
  <si>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</si>
  <si>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</si>
  <si>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</si>
  <si>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</si>
  <si>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</si>
  <si>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</si>
  <si>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</si>
  <si>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</si>
  <si>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</si>
  <si>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</si>
  <si>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</si>
  <si>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</si>
  <si>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</si>
  <si>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</si>
  <si>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</si>
  <si>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</si>
  <si>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</si>
  <si>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</si>
  <si>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</si>
  <si>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</si>
  <si>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</si>
  <si>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</si>
  <si>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</si>
  <si>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</si>
  <si>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</si>
  <si>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</si>
  <si>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</si>
  <si>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</si>
  <si>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</si>
  <si>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</si>
  <si>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</si>
  <si>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</si>
  <si>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</si>
  <si>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</si>
  <si>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</si>
  <si>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</si>
  <si>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</si>
  <si>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</si>
  <si>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</si>
  <si>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</si>
  <si>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</si>
  <si>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</si>
  <si>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</si>
  <si>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</si>
  <si>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</si>
  <si>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</si>
  <si>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</si>
  <si>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</si>
  <si>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</si>
  <si>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</si>
  <si>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</si>
  <si>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</si>
  <si>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</si>
  <si>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</si>
  <si>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</si>
  <si>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</si>
  <si>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</si>
  <si>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</si>
  <si>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</si>
  <si>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</si>
  <si>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</si>
  <si>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</si>
  <si>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State-of-Interest Make matrix (V) at BEA Summary resolution, from EPA</t>
  </si>
  <si>
    <t xml:space="preserve">stateior's two-region MRIO build for this state and base year. Rows =</t>
  </si>
  <si>
    <t xml:space="preserve">industries, columns = commodities. Values are in nominal 2019 USD as</t>
  </si>
  <si>
    <t xml:space="preserve">emitted by stateior. This is the raw input aggregated to 42 ISIC for</t>
  </si>
  <si>
    <t xml:space="preserve">the final output in this workbook.</t>
  </si>
  <si>
    <t xml:space="preserve">industry</t>
  </si>
  <si>
    <t xml:space="preserve">Used</t>
  </si>
  <si>
    <t xml:space="preserve">Other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</si>
  <si>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</si>
  <si>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</si>
  <si>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</si>
  <si>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OH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</si>
  <si>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</si>
  <si>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</si>
  <si>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</si>
  <si>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</si>
  <si>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</si>
  <si>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</si>
  <si>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</si>
  <si>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</si>
  <si>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</si>
  <si>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</si>
  <si>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</si>
  <si>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</si>
  <si>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</si>
  <si>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</si>
  <si>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</si>
  <si>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</si>
  <si>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</si>
  <si>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</si>
  <si>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</si>
  <si>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</si>
  <si>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</si>
  <si>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</si>
  <si>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</si>
  <si>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</si>
  <si>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</si>
  <si>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</si>
  <si>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</si>
  <si>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</si>
  <si>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</si>
  <si>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</si>
  <si>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</si>
  <si>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</si>
  <si>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</si>
  <si>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</si>
  <si>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</si>
  <si>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</si>
  <si>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</si>
  <si>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</si>
  <si>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</si>
  <si>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</si>
  <si>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</si>
  <si>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</si>
  <si>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</si>
  <si>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</si>
  <si>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</si>
  <si>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</si>
  <si>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</si>
  <si>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</si>
  <si>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</si>
  <si>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</si>
  <si>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</si>
  <si>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</si>
  <si>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</si>
  <si>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</si>
  <si>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</si>
  <si>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</si>
  <si>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</si>
  <si>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</si>
  <si>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</si>
  <si>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</si>
  <si>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</si>
  <si>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</si>
  <si>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</si>
  <si>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</si>
  <si>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</si>
  <si>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</si>
  <si>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</si>
  <si>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</si>
  <si>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</si>
  <si>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</si>
  <si>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</si>
  <si>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</si>
  <si>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</si>
  <si>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</si>
  <si>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</si>
  <si>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</si>
  <si>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</si>
  <si>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</si>
  <si>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</si>
  <si>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</si>
  <si>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</si>
  <si>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</si>
  <si>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</si>
  <si>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</si>
  <si>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</si>
  <si>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</si>
  <si>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</si>
  <si>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</si>
  <si>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</si>
  <si>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</si>
  <si>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</si>
  <si>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</si>
  <si>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</si>
  <si>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</si>
  <si>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</si>
  <si>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</si>
  <si>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</si>
  <si>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</si>
  <si>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OH.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</si>
  <si>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</si>
  <si>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</si>
  <si>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</si>
  <si>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</si>
  <si>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</si>
  <si>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ISIC_code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</si>
  <si>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</si>
  <si>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</si>
  <si>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</si>
  <si>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</si>
  <si>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</si>
  <si>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01T03</t>
  </si>
  <si>
    <t xml:space="preserve">Agriculture, forestry, fishing</t>
  </si>
  <si>
    <t xml:space="preserve">Forestry, fishing, related</t>
  </si>
  <si>
    <t xml:space="preserve">Oil and gas extraction</t>
  </si>
  <si>
    <t xml:space="preserve">06</t>
  </si>
  <si>
    <t xml:space="preserve">Extraction of crude petroleum and natural gas</t>
  </si>
  <si>
    <t xml:space="preserve">Support activities for mining</t>
  </si>
  <si>
    <t xml:space="preserve">09</t>
  </si>
  <si>
    <t xml:space="preserve">Mining support service activities</t>
  </si>
  <si>
    <t xml:space="preserve">Utilities</t>
  </si>
  <si>
    <t xml:space="preserve">351</t>
  </si>
  <si>
    <t xml:space="preserve">Electricity</t>
  </si>
  <si>
    <t xml:space="preserve">BEA 2012 Detail: electric ~72% of 22 output</t>
  </si>
  <si>
    <t xml:space="preserve">352T353</t>
  </si>
  <si>
    <t xml:space="preserve">Gas, steam, AC</t>
  </si>
  <si>
    <t xml:space="preserve">BEA Detail: gas distribution ~20%</t>
  </si>
  <si>
    <t xml:space="preserve">36T39</t>
  </si>
  <si>
    <t xml:space="preserve">Water, sewerage, waste</t>
  </si>
  <si>
    <t xml:space="preserve">BEA Detail: water/sewage ~8%</t>
  </si>
  <si>
    <t xml:space="preserve">Construction</t>
  </si>
  <si>
    <t xml:space="preserve">41T43</t>
  </si>
  <si>
    <t xml:space="preserve">Food, beverage, tobacco</t>
  </si>
  <si>
    <t xml:space="preserve">10T12</t>
  </si>
  <si>
    <t xml:space="preserve">Food, beverages, tobacco</t>
  </si>
  <si>
    <t xml:space="preserve">Textile mills and textile product mills</t>
  </si>
  <si>
    <t xml:space="preserve">13T15</t>
  </si>
  <si>
    <t xml:space="preserve">Textiles, apparel, leather</t>
  </si>
  <si>
    <t xml:space="preserve">Apparel and leather</t>
  </si>
  <si>
    <t xml:space="preserve">Wood products</t>
  </si>
  <si>
    <t xml:space="preserve">16</t>
  </si>
  <si>
    <t xml:space="preserve">Wood and products of wood and cork</t>
  </si>
  <si>
    <t xml:space="preserve">Paper products</t>
  </si>
  <si>
    <t xml:space="preserve">17T18</t>
  </si>
  <si>
    <t xml:space="preserve">Paper products and printing</t>
  </si>
  <si>
    <t xml:space="preserve">Printing and related</t>
  </si>
  <si>
    <t xml:space="preserve">Petroleum and coal products</t>
  </si>
  <si>
    <t xml:space="preserve">19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</si>
  <si>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</si>
  <si>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</si>
  <si>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241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</si>
  <si>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</si>
  <si>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</si>
  <si>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</si>
  <si>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</si>
  <si>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</si>
  <si>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25</t>
  </si>
  <si>
    <t xml:space="preserve">Machinery</t>
  </si>
  <si>
    <t xml:space="preserve">28</t>
  </si>
  <si>
    <t xml:space="preserve">Machinery and equipment n.e.c.</t>
  </si>
  <si>
    <t xml:space="preserve">Computer and electronic products</t>
  </si>
  <si>
    <t xml:space="preserve">26</t>
  </si>
  <si>
    <t xml:space="preserve">Computer, electronic and optical products</t>
  </si>
  <si>
    <t xml:space="preserve">Electrical equipment, appliances</t>
  </si>
  <si>
    <t xml:space="preserve">27</t>
  </si>
  <si>
    <t xml:space="preserve">Electrical equipment</t>
  </si>
  <si>
    <t xml:space="preserve">Motor vehicles, bodies, trailers, parts</t>
  </si>
  <si>
    <t xml:space="preserve">29</t>
  </si>
  <si>
    <t xml:space="preserve">Motor vehicles, trailers, semi-trailers</t>
  </si>
  <si>
    <t xml:space="preserve">Other transportation equipment</t>
  </si>
  <si>
    <t xml:space="preserve">30</t>
  </si>
  <si>
    <t xml:space="preserve">Other transport equipment</t>
  </si>
  <si>
    <t xml:space="preserve">Furniture and related products</t>
  </si>
  <si>
    <t xml:space="preserve">31T33</t>
  </si>
  <si>
    <t xml:space="preserve">Furniture; other manufacturing; repair</t>
  </si>
  <si>
    <t xml:space="preserve">Miscellaneous manufacturing</t>
  </si>
  <si>
    <t xml:space="preserve">Wholesale trade</t>
  </si>
  <si>
    <t xml:space="preserve">45T47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</si>
  <si>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</si>
  <si>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</si>
  <si>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</si>
  <si>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</si>
  <si>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</si>
  <si>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</si>
  <si>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49T53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</si>
  <si>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</si>
  <si>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</si>
  <si>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</si>
  <si>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</si>
  <si>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</si>
  <si>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</si>
  <si>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</si>
  <si>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</si>
  <si>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</si>
  <si>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</si>
  <si>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</si>
  <si>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58T60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</si>
  <si>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</si>
  <si>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</si>
  <si>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</si>
  <si>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</si>
  <si>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</si>
  <si>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</si>
  <si>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62T63</t>
  </si>
  <si>
    <t xml:space="preserve">IT and other information services</t>
  </si>
  <si>
    <t xml:space="preserve">Federal Reserve banks, credit intermediation</t>
  </si>
  <si>
    <t xml:space="preserve">64T66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</si>
  <si>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</si>
  <si>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</si>
  <si>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</si>
  <si>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</si>
  <si>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</si>
  <si>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68</t>
  </si>
  <si>
    <t xml:space="preserve">Real estate activities</t>
  </si>
  <si>
    <t xml:space="preserve">Other real estate</t>
  </si>
  <si>
    <t xml:space="preserve">Rental and leasing (excl real estate)</t>
  </si>
  <si>
    <t xml:space="preserve">69T82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</si>
  <si>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</si>
  <si>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</si>
  <si>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</si>
  <si>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</si>
  <si>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</si>
  <si>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</si>
  <si>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</si>
  <si>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</si>
  <si>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</si>
  <si>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</si>
  <si>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</si>
  <si>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85</t>
  </si>
  <si>
    <t xml:space="preserve">Education</t>
  </si>
  <si>
    <t xml:space="preserve">Ambulatory health care</t>
  </si>
  <si>
    <t xml:space="preserve">86T88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</si>
  <si>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</si>
  <si>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</si>
  <si>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</si>
  <si>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</si>
  <si>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</si>
  <si>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90T96</t>
  </si>
  <si>
    <t xml:space="preserve">Arts, entertainment and other services</t>
  </si>
  <si>
    <t xml:space="preserve">Amusements, gambling, recreation</t>
  </si>
  <si>
    <t xml:space="preserve">Accommodation</t>
  </si>
  <si>
    <t xml:space="preserve">55T56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</si>
  <si>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</si>
  <si>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</si>
  <si>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</si>
  <si>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</si>
  <si>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84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</si>
  <si>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</si>
  <si>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</si>
  <si>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</si>
  <si>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</si>
  <si>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</si>
  <si>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</si>
  <si>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05</t>
  </si>
  <si>
    <t xml:space="preserve">Mining of coal and lignite</t>
  </si>
  <si>
    <t xml:space="preserve">coal/(coal+nonfuel) mine-value share, 2012 USD: EIA coal 2019 $383M + USGS T3 nonfuel 2021 $1621M -&gt; coal share 0.191 (applied to stateior 212 $2131M)</t>
  </si>
  <si>
    <t xml:space="preserve">07T08</t>
  </si>
  <si>
    <t xml:space="preserve">Other mining and quarrying</t>
  </si>
  <si>
    <t xml:space="preserve">Nonmetallic minerals</t>
  </si>
  <si>
    <t xml:space="preserve">231</t>
  </si>
  <si>
    <t xml:space="preserve">Glass</t>
  </si>
  <si>
    <t xml:space="preserve">HEURISTIC (GHGRP Subpart H cement state list + glass industry profile; Census ASM suppressed or missing)</t>
  </si>
  <si>
    <t xml:space="preserve">239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</si>
  <si>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</si>
  <si>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</si>
  <si>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</si>
  <si>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242</t>
  </si>
  <si>
    <t xml:space="preserve">Aluminum, nonferrous, foundries</t>
  </si>
  <si>
    <t xml:space="preserve">Chemicals</t>
  </si>
  <si>
    <t xml:space="preserve">20</t>
  </si>
  <si>
    <t xml:space="preserve">Chemicals and chemical products</t>
  </si>
  <si>
    <t xml:space="preserve">HEURISTIC (Census ASM suppressed or unpulled)</t>
  </si>
  <si>
    <t xml:space="preserve">21</t>
  </si>
  <si>
    <t xml:space="preserve">Pharmaceuticals</t>
  </si>
  <si>
    <t xml:space="preserve">State-specific disaggregation ratios applied for OH.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</si>
  <si>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</si>
  <si>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</si>
  <si>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</si>
  <si>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</si>
  <si>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</si>
  <si>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</si>
  <si>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</si>
  <si>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</si>
  <si>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</si>
  <si>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</si>
  <si>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</si>
  <si>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</si>
  <si>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</si>
  <si>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</si>
  <si>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</si>
  <si>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</si>
  <si>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</si>
  <si>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</si>
  <si>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</si>
  <si>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</si>
  <si>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</si>
  <si>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</si>
  <si>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</si>
  <si>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</si>
  <si>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</si>
  <si>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</si>
  <si>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</si>
  <si>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</si>
  <si>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</si>
  <si>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</si>
  <si>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</si>
  <si>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</si>
  <si>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</si>
  <si>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</si>
  <si>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</si>
  <si>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</si>
  <si>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</si>
  <si>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</si>
  <si>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</si>
  <si>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</si>
  <si>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</si>
  <si>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</si>
  <si>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</si>
  <si>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</si>
  <si>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</si>
  <si>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</si>
  <si>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</si>
  <si>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</si>
  <si>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</si>
  <si>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</si>
  <si>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</si>
  <si>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</si>
  <si>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</si>
  <si>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</si>
  <si>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</si>
  <si>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</si>
  <si>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</si>
  <si>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</si>
  <si>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</si>
  <si>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</si>
  <si>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</si>
  <si>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</si>
  <si>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</si>
  <si>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</si>
  <si>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</si>
  <si>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</si>
  <si>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</si>
  <si>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</si>
  <si>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</si>
  <si>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</si>
  <si>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</si>
  <si>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</si>
  <si>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</si>
  <si>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</si>
  <si>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</si>
  <si>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</si>
  <si>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</si>
  <si>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</si>
  <si>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</si>
  <si>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97T98</t>
  </si>
  <si>
    <t xml:space="preserve">Households as employers; undifferentiated production (zero in EPS)</t>
  </si>
  <si>
    <t xml:space="preserve">Designed zero row: households as employers (NAICS 814)</t>
  </si>
  <si>
    <t xml:space="preserve">STEP 1 - read BEA code / ISIC code / weight live from the Crosswalk tab, pull each BEA value from the source tab, then weight it</t>
  </si>
  <si>
    <t xml:space="preserve">BEA_value_nominal</t>
  </si>
  <si>
    <t xml:space="preserve">weighted_nominal</t>
  </si>
  <si>
    <t xml:space="preserve">STEP 2 - aggregate weighted values to 42 ISIC, then deflate to 2012 USD (Keys!$C$2)</t>
  </si>
  <si>
    <t xml:space="preserve">aggregated_nominal</t>
  </si>
  <si>
    <t xml:space="preserve">value_2012USD</t>
  </si>
  <si>
    <t xml:space="preserve">Unit: USD</t>
  </si>
  <si>
    <t xml:space="preserve">Output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</si>
</sst>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9</v>
      </c>
    </row>
    <row r="13">
      <c r="A13" t="s">
        <v>10</v>
      </c>
    </row>
    <row r="14">
      <c r="A14" t="s">
        <v>1</v>
      </c>
    </row>
    <row r="15">
      <c r="A15" t="s">
        <v>11</v>
      </c>
    </row>
    <row r="16">
      <c r="A16" t="s">
        <v>12</v>
      </c>
    </row>
    <row r="17">
      <c r="A17" t="s">
        <v>13</v>
      </c>
    </row>
    <row r="18">
      <c r="A18" t="s">
        <v>14</v>
      </c>
    </row>
    <row r="19">
      <c r="A19" t="s">
        <v>15</v>
      </c>
    </row>
    <row r="20">
      <c r="A20" t="s">
        <v>1</v>
      </c>
    </row>
    <row r="21">
      <c r="A21" t="s">
        <v>16</v>
      </c>
    </row>
    <row r="22">
      <c r="A22" t="s">
        <v>17</v>
      </c>
    </row>
    <row r="23">
      <c r="A23" t="s">
        <v>1</v>
      </c>
    </row>
    <row r="24">
      <c r="A24" t="s">
        <v>18</v>
      </c>
    </row>
    <row r="25">
      <c r="A25" t="s">
        <v>19</v>
      </c>
    </row>
    <row r="26">
      <c r="A26" t="s">
        <v>20</v>
      </c>
    </row>
    <row r="27">
      <c r="A27" t="s">
        <v>21</v>
      </c>
    </row>
    <row r="28">
      <c r="A28" t="s">
        <v>22</v>
      </c>
    </row>
    <row r="29">
      <c r="A29" t="s">
        <v>23</v>
      </c>
    </row>
    <row r="30">
      <c r="A30" t="s">
        <v>24</v>
      </c>
    </row>
    <row r="31">
      <c r="A31" t="s">
        <v>25</v>
      </c>
    </row>
    <row r="32">
      <c r="A32" t="s">
        <v>1</v>
      </c>
    </row>
    <row r="33">
      <c r="A33" t="s">
        <v>26</v>
      </c>
    </row>
    <row r="34">
      <c r="A34" t="s">
        <v>27</v>
      </c>
    </row>
    <row r="35">
      <c r="A35" t="s">
        <v>28</v>
      </c>
    </row>
    <row r="36">
      <c r="A36" t="s">
        <v>29</v>
      </c>
    </row>
    <row r="37">
      <c r="A37" t="s">
        <v>30</v>
      </c>
    </row>
    <row r="38">
      <c r="A38" t="s">
        <v>31</v>
      </c>
    </row>
    <row r="39">
      <c r="A39" t="s">
        <v>1</v>
      </c>
    </row>
    <row r="40">
      <c r="A40" t="s">
        <v>32</v>
      </c>
    </row>
    <row r="41">
      <c r="A41" t="s">
        <v>33</v>
      </c>
    </row>
    <row r="42">
      <c r="A42" t="s">
        <v>34</v>
      </c>
    </row>
    <row r="43">
      <c r="A43" t="s">
        <v>1</v>
      </c>
    </row>
    <row r="44">
      <c r="A44" t="s">
        <v>35</v>
      </c>
    </row>
    <row r="45">
      <c r="A45" t="s">
        <v>36</v>
      </c>
    </row>
    <row r="46">
      <c r="A46" t="s">
        <v>37</v>
      </c>
    </row>
    <row r="47">
      <c r="A47" t="s">
        <v>38</v>
      </c>
    </row>
    <row r="48">
      <c r="A48" t="s">
        <v>39</v>
      </c>
    </row>
    <row r="49">
      <c r="A49" t="s">
        <v>40</v>
      </c>
    </row>
    <row r="50">
      <c r="A50" t="s">
        <v>41</v>
      </c>
    </row>
    <row r="51">
      <c r="A51" t="s">
        <v>42</v>
      </c>
    </row>
    <row r="52">
      <c r="A52" t="s">
        <v>43</v>
      </c>
    </row>
    <row r="53">
      <c r="A53" t="s">
        <v>44</v>
      </c>
    </row>
    <row r="54">
      <c r="A54" t="s">
        <v>45</v>
      </c>
    </row>
    <row r="55">
      <c r="A55" t="s">
        <v>46</v>
      </c>
    </row>
    <row r="56">
      <c r="A56" t="s">
        <v>1</v>
      </c>
    </row>
    <row r="57">
      <c r="A57" t="s">
        <v>47</v>
      </c>
    </row>
    <row r="58">
      <c r="A58" t="s">
        <v>48</v>
      </c>
    </row>
    <row r="59">
      <c r="A59" t="s">
        <v>49</v>
      </c>
    </row>
    <row r="60">
      <c r="A60" t="s">
        <v>50</v>
      </c>
    </row>
    <row r="61">
      <c r="A61" t="s">
        <v>51</v>
      </c>
    </row>
    <row r="62">
      <c r="A62" t="s">
        <v>1</v>
      </c>
    </row>
    <row r="63">
      <c r="A63" t="s">
        <v>52</v>
      </c>
    </row>
    <row r="64">
      <c r="A64" t="s">
        <v>53</v>
      </c>
    </row>
    <row r="65">
      <c r="A65" t="s">
        <v>1</v>
      </c>
    </row>
    <row r="66">
      <c r="A66" t="s">
        <v>4</v>
      </c>
    </row>
    <row r="67">
      <c r="A67" t="s">
        <v>54</v>
      </c>
    </row>
    <row r="68">
      <c r="A68" t="s">
        <v>4</v>
      </c>
    </row>
    <row r="69">
      <c r="A69" t="s">
        <v>55</v>
      </c>
    </row>
    <row r="70">
      <c r="A70" t="s">
        <v>56</v>
      </c>
    </row>
    <row r="71">
      <c r="A71" t="s">
        <v>1</v>
      </c>
    </row>
    <row r="72">
      <c r="A72" t="s">
        <v>57</v>
      </c>
    </row>
    <row r="73">
      <c r="A73" t="s">
        <v>58</v>
      </c>
    </row>
    <row r="74">
      <c r="A74" t="s">
        <v>59</v>
      </c>
    </row>
    <row r="75">
      <c r="A75" t="s">
        <v>60</v>
      </c>
    </row>
    <row r="76">
      <c r="A76" t="s">
        <v>61</v>
      </c>
    </row>
    <row r="77">
      <c r="A77" t="s">
        <v>62</v>
      </c>
    </row>
    <row r="78">
      <c r="A78" t="s">
        <v>63</v>
      </c>
    </row>
    <row r="79">
      <c r="A79" t="s">
        <v>64</v>
      </c>
    </row>
    <row r="80">
      <c r="A80" t="s">
        <v>65</v>
      </c>
    </row>
    <row r="81">
      <c r="A81" t="s">
        <v>66</v>
      </c>
    </row>
    <row r="82">
      <c r="A82" t="s">
        <v>67</v>
      </c>
    </row>
    <row r="83">
      <c r="A83" t="s">
        <v>1</v>
      </c>
    </row>
    <row r="84">
      <c r="A84" t="s">
        <v>68</v>
      </c>
    </row>
    <row r="85">
      <c r="A85" t="s">
        <v>69</v>
      </c>
    </row>
    <row r="86">
      <c r="A86" t="s">
        <v>1</v>
      </c>
    </row>
    <row r="87">
      <c r="A87" t="s">
        <v>4</v>
      </c>
    </row>
    <row r="88">
      <c r="A88" t="s">
        <v>70</v>
      </c>
    </row>
    <row r="89">
      <c r="A89" t="s">
        <v>4</v>
      </c>
    </row>
    <row r="90">
      <c r="A90" t="s">
        <v>71</v>
      </c>
    </row>
    <row r="91">
      <c r="A91" t="s">
        <v>72</v>
      </c>
    </row>
    <row r="92">
      <c r="A92" t="s">
        <v>73</v>
      </c>
    </row>
    <row r="93">
      <c r="A93" t="s">
        <v>1</v>
      </c>
    </row>
    <row r="94">
      <c r="A94" t="s">
        <v>74</v>
      </c>
    </row>
    <row r="95">
      <c r="A95" t="s">
        <v>75</v>
      </c>
    </row>
    <row r="96">
      <c r="A96" t="s">
        <v>76</v>
      </c>
    </row>
    <row r="97">
      <c r="A97" t="s">
        <v>1</v>
      </c>
    </row>
    <row r="98">
      <c r="A98" t="s">
        <v>77</v>
      </c>
    </row>
    <row r="99">
      <c r="A99" t="s">
        <v>78</v>
      </c>
    </row>
    <row r="100">
      <c r="A100" t="s">
        <v>79</v>
      </c>
    </row>
    <row r="101">
      <c r="A101" t="s">
        <v>1</v>
      </c>
    </row>
    <row r="102">
      <c r="A102" t="s">
        <v>80</v>
      </c>
    </row>
    <row r="103">
      <c r="A103" t="s">
        <v>81</v>
      </c>
    </row>
    <row r="104">
      <c r="A104" t="s">
        <v>82</v>
      </c>
    </row>
    <row r="105">
      <c r="A105" t="s">
        <v>1</v>
      </c>
    </row>
    <row r="106">
      <c r="A106" t="s">
        <v>83</v>
      </c>
    </row>
    <row r="107">
      <c r="A107" t="s">
        <v>84</v>
      </c>
    </row>
    <row r="108">
      <c r="A108" t="s">
        <v>85</v>
      </c>
    </row>
    <row r="109">
      <c r="A109" t="s">
        <v>1</v>
      </c>
    </row>
    <row r="110">
      <c r="A110" t="s">
        <v>86</v>
      </c>
    </row>
    <row r="111">
      <c r="A111" t="s">
        <v>87</v>
      </c>
    </row>
    <row r="112">
      <c r="A112" t="s">
        <v>88</v>
      </c>
    </row>
    <row r="113">
      <c r="A113" t="s">
        <v>1</v>
      </c>
    </row>
    <row r="114">
      <c r="A114" t="s">
        <v>89</v>
      </c>
    </row>
    <row r="115">
      <c r="A115" t="s">
        <v>90</v>
      </c>
    </row>
    <row r="116">
      <c r="A116" t="s">
        <v>91</v>
      </c>
    </row>
    <row r="117">
      <c r="A117" t="s">
        <v>1</v>
      </c>
    </row>
    <row r="118">
      <c r="A118" t="s">
        <v>92</v>
      </c>
    </row>
    <row r="119">
      <c r="A119" t="s">
        <v>93</v>
      </c>
    </row>
    <row r="120">
      <c r="A120" t="s">
        <v>94</v>
      </c>
    </row>
    <row r="121">
      <c r="A121" t="s">
        <v>1</v>
      </c>
    </row>
    <row r="122">
      <c r="A122" t="s">
        <v>95</v>
      </c>
    </row>
    <row r="123">
      <c r="A123" t="s">
        <v>96</v>
      </c>
    </row>
    <row r="124">
      <c r="A124" t="s">
        <v>97</v>
      </c>
    </row>
    <row r="125">
      <c r="A125" t="s">
        <v>1</v>
      </c>
    </row>
    <row r="126">
      <c r="A126" t="s">
        <v>98</v>
      </c>
    </row>
    <row r="127">
      <c r="A127" t="s">
        <v>99</v>
      </c>
    </row>
    <row r="128">
      <c r="A128" t="s">
        <v>100</v>
      </c>
    </row>
    <row r="129">
      <c r="A129" t="s">
        <v>1</v>
      </c>
    </row>
    <row r="130">
      <c r="A130" t="s">
        <v>101</v>
      </c>
    </row>
    <row r="131">
      <c r="A131" t="s">
        <v>102</v>
      </c>
    </row>
    <row r="132">
      <c r="A132" t="s">
        <v>103</v>
      </c>
    </row>
    <row r="133">
      <c r="A133" t="s">
        <v>1</v>
      </c>
    </row>
    <row r="134">
      <c r="A134" t="s">
        <v>4</v>
      </c>
    </row>
    <row r="135">
      <c r="A135" t="s">
        <v>104</v>
      </c>
    </row>
    <row r="136">
      <c r="A136" t="s">
        <v>4</v>
      </c>
    </row>
    <row r="137">
      <c r="A137" t="s">
        <v>105</v>
      </c>
    </row>
    <row r="138">
      <c r="A138" t="s">
        <v>106</v>
      </c>
    </row>
    <row r="139">
      <c r="A139" t="s">
        <v>1</v>
      </c>
    </row>
    <row r="140">
      <c r="A140" t="s">
        <v>107</v>
      </c>
    </row>
    <row r="141">
      <c r="A141" t="s">
        <v>108</v>
      </c>
    </row>
    <row r="142">
      <c r="A142" t="s">
        <v>109</v>
      </c>
    </row>
    <row r="143">
      <c r="A143" t="s">
        <v>110</v>
      </c>
    </row>
    <row r="144">
      <c r="A144" t="s">
        <v>111</v>
      </c>
    </row>
    <row r="145">
      <c r="A145" t="s">
        <v>112</v>
      </c>
    </row>
    <row r="146">
      <c r="A146" t="s">
        <v>113</v>
      </c>
    </row>
    <row r="147">
      <c r="A147" t="s">
        <v>114</v>
      </c>
    </row>
    <row r="148">
      <c r="A148" t="s">
        <v>115</v>
      </c>
    </row>
    <row r="149">
      <c r="A149" t="s">
        <v>116</v>
      </c>
    </row>
    <row r="150">
      <c r="A150" t="s">
        <v>117</v>
      </c>
    </row>
    <row r="151">
      <c r="A151" t="s">
        <v>118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26.71" hidden="0" customWidth="1"/>
    <col min="3" max="3" width="14.71" hidden="0" customWidth="1"/>
    <col min="4" max="4" width="82.71" hidden="0" customWidth="1"/>
  </cols>
  <sheetData>
    <row r="1">
      <c r="A1" t="s">
        <v>119</v>
      </c>
      <c r="B1" t="s">
        <v>120</v>
      </c>
      <c r="C1" t="s">
        <v>121</v>
      </c>
      <c r="D1" t="s">
        <v>122</v>
      </c>
    </row>
    <row r="2">
      <c r="A2" t="s">
        <v>123</v>
      </c>
      <c r="B2" t="s">
        <v>124</v>
      </c>
      <c r="C2" t="n">
        <v>1.12266</v>
      </c>
      <c r="D2" t="s">
        <v>125</v>
      </c>
    </row>
    <row r="3">
      <c r="A3" t="s">
        <v>126</v>
      </c>
      <c r="B3" t="s">
        <v>127</v>
      </c>
      <c r="C3" t="n">
        <v>2019</v>
      </c>
      <c r="D3" t="s">
        <v>128</v>
      </c>
    </row>
    <row r="4">
      <c r="A4" t="s">
        <v>129</v>
      </c>
      <c r="B4" t="s">
        <v>130</v>
      </c>
      <c r="C4" t="n">
        <v>0.000000001</v>
      </c>
      <c r="D4" t="s">
        <v>131</v>
      </c>
    </row>
    <row r="5">
      <c r="A5" t="s">
        <v>129</v>
      </c>
      <c r="B5" t="s">
        <v>132</v>
      </c>
      <c r="C5" t="n">
        <v>1</v>
      </c>
      <c r="D5" t="s">
        <v>133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134</v>
      </c>
      <c r="B1" t="s">
        <v>135</v>
      </c>
    </row>
    <row r="2">
      <c r="A2" t="s">
        <v>136</v>
      </c>
      <c r="B2" t="n">
        <v>7419676287.86509</v>
      </c>
    </row>
    <row r="3">
      <c r="A3" t="s">
        <v>137</v>
      </c>
      <c r="B3" t="n">
        <v>773724203.611111</v>
      </c>
    </row>
    <row r="4">
      <c r="A4" t="s">
        <v>138</v>
      </c>
      <c r="B4" t="n">
        <v>5233050460.39499</v>
      </c>
    </row>
    <row r="5">
      <c r="A5" t="s">
        <v>139</v>
      </c>
      <c r="B5" t="n">
        <v>2131274158.8639</v>
      </c>
    </row>
    <row r="6">
      <c r="A6" t="s">
        <v>140</v>
      </c>
      <c r="B6" t="n">
        <v>1700076980.69029</v>
      </c>
    </row>
    <row r="7">
      <c r="A7" t="s">
        <v>141</v>
      </c>
      <c r="B7" t="n">
        <v>16563773010.5782</v>
      </c>
    </row>
    <row r="8">
      <c r="A8" t="s">
        <v>142</v>
      </c>
      <c r="B8" t="n">
        <v>50277995962.8903</v>
      </c>
    </row>
    <row r="9">
      <c r="A9" t="s">
        <v>143</v>
      </c>
      <c r="B9" t="n">
        <v>3626872615.68747</v>
      </c>
    </row>
    <row r="10">
      <c r="A10" t="s">
        <v>144</v>
      </c>
      <c r="B10" t="n">
        <v>8346731136.73643</v>
      </c>
    </row>
    <row r="11">
      <c r="A11" t="s">
        <v>145</v>
      </c>
      <c r="B11" t="n">
        <v>18112984072.6524</v>
      </c>
    </row>
    <row r="12">
      <c r="A12" t="s">
        <v>146</v>
      </c>
      <c r="B12" t="n">
        <v>28140932821.2006</v>
      </c>
    </row>
    <row r="13">
      <c r="A13" t="s">
        <v>147</v>
      </c>
      <c r="B13" t="n">
        <v>21216129258.5208</v>
      </c>
    </row>
    <row r="14">
      <c r="A14" t="s">
        <v>148</v>
      </c>
      <c r="B14" t="n">
        <v>3175394564.0925</v>
      </c>
    </row>
    <row r="15">
      <c r="A15" t="s">
        <v>149</v>
      </c>
      <c r="B15" t="n">
        <v>10052890880.7887</v>
      </c>
    </row>
    <row r="16">
      <c r="A16" t="s">
        <v>150</v>
      </c>
      <c r="B16" t="n">
        <v>47905509336.8878</v>
      </c>
    </row>
    <row r="17">
      <c r="A17" t="s">
        <v>151</v>
      </c>
      <c r="B17" t="n">
        <v>12228043051.9439</v>
      </c>
    </row>
    <row r="18">
      <c r="A18" t="s">
        <v>152</v>
      </c>
      <c r="B18" t="n">
        <v>2582948641.18795</v>
      </c>
    </row>
    <row r="19">
      <c r="A19" t="s">
        <v>153</v>
      </c>
      <c r="B19" t="n">
        <v>4184154274.8616</v>
      </c>
    </row>
    <row r="20">
      <c r="A20" t="s">
        <v>154</v>
      </c>
      <c r="B20" t="n">
        <v>40098870360.9567</v>
      </c>
    </row>
    <row r="21">
      <c r="A21" t="s">
        <v>155</v>
      </c>
      <c r="B21" t="n">
        <v>1175449008.22637</v>
      </c>
    </row>
    <row r="22">
      <c r="A22" t="s">
        <v>156</v>
      </c>
      <c r="B22" t="n">
        <v>341650567.000127</v>
      </c>
    </row>
    <row r="23">
      <c r="A23" t="s">
        <v>157</v>
      </c>
      <c r="B23" t="n">
        <v>7704497968.77605</v>
      </c>
    </row>
    <row r="24">
      <c r="A24" t="s">
        <v>158</v>
      </c>
      <c r="B24" t="n">
        <v>3736052876.30292</v>
      </c>
    </row>
    <row r="25">
      <c r="A25" t="s">
        <v>159</v>
      </c>
      <c r="B25" t="n">
        <v>27602664559.9312</v>
      </c>
    </row>
    <row r="26">
      <c r="A26" t="s">
        <v>160</v>
      </c>
      <c r="B26" t="n">
        <v>38176324026.8844</v>
      </c>
    </row>
    <row r="27">
      <c r="A27" t="s">
        <v>161</v>
      </c>
      <c r="B27" t="n">
        <v>18919632669.5146</v>
      </c>
    </row>
    <row r="28">
      <c r="A28" t="s">
        <v>162</v>
      </c>
      <c r="B28" t="n">
        <v>76170336703.959</v>
      </c>
    </row>
    <row r="29">
      <c r="A29" t="s">
        <v>163</v>
      </c>
      <c r="B29" t="n">
        <v>14902247919.9213</v>
      </c>
    </row>
    <row r="30">
      <c r="A30" t="s">
        <v>164</v>
      </c>
      <c r="B30" t="n">
        <v>9920842195.37389</v>
      </c>
    </row>
    <row r="31">
      <c r="A31" t="s">
        <v>165</v>
      </c>
      <c r="B31" t="n">
        <v>10128423962.8838</v>
      </c>
    </row>
    <row r="32">
      <c r="A32" t="s">
        <v>166</v>
      </c>
      <c r="B32" t="n">
        <v>31578393534.7794</v>
      </c>
    </row>
    <row r="33">
      <c r="A33" t="s">
        <v>167</v>
      </c>
      <c r="B33" t="n">
        <v>4838087493.77486</v>
      </c>
    </row>
    <row r="34">
      <c r="A34" t="s">
        <v>168</v>
      </c>
      <c r="B34" t="n">
        <v>2784266080.63049</v>
      </c>
    </row>
    <row r="35">
      <c r="A35" t="s">
        <v>169</v>
      </c>
      <c r="B35" t="n">
        <v>597090044.461628</v>
      </c>
    </row>
    <row r="36">
      <c r="A36" t="s">
        <v>170</v>
      </c>
      <c r="B36" t="n">
        <v>19201557557.8446</v>
      </c>
    </row>
    <row r="37">
      <c r="A37" t="s">
        <v>171</v>
      </c>
      <c r="B37" t="n">
        <v>1270831238.9576</v>
      </c>
    </row>
    <row r="38">
      <c r="A38" t="s">
        <v>172</v>
      </c>
      <c r="B38" t="n">
        <v>2057301971.26629</v>
      </c>
    </row>
    <row r="39">
      <c r="A39" t="s">
        <v>173</v>
      </c>
      <c r="B39" t="n">
        <v>9649334105.25439</v>
      </c>
    </row>
    <row r="40">
      <c r="A40" t="s">
        <v>174</v>
      </c>
      <c r="B40" t="n">
        <v>6711339742.40153</v>
      </c>
    </row>
    <row r="41">
      <c r="A41" t="s">
        <v>175</v>
      </c>
      <c r="B41" t="n">
        <v>7603599034.55491</v>
      </c>
    </row>
    <row r="42">
      <c r="A42" t="s">
        <v>176</v>
      </c>
      <c r="B42" t="n">
        <v>906900851.5444</v>
      </c>
    </row>
    <row r="43">
      <c r="A43" t="s">
        <v>177</v>
      </c>
      <c r="B43" t="n">
        <v>16435137553.1582</v>
      </c>
    </row>
    <row r="44">
      <c r="A44" t="s">
        <v>178</v>
      </c>
      <c r="B44" t="n">
        <v>5605764233.2589</v>
      </c>
    </row>
    <row r="45">
      <c r="A45" t="s">
        <v>179</v>
      </c>
      <c r="B45" t="n">
        <v>65114714461.6391</v>
      </c>
    </row>
    <row r="46">
      <c r="A46" t="s">
        <v>180</v>
      </c>
      <c r="B46" t="n">
        <v>8560245236.7129</v>
      </c>
    </row>
    <row r="47">
      <c r="A47" t="s">
        <v>181</v>
      </c>
      <c r="B47" t="n">
        <v>59394153683.9738</v>
      </c>
    </row>
    <row r="48">
      <c r="A48" t="s">
        <v>182</v>
      </c>
      <c r="B48" t="n">
        <v>1293310427.35043</v>
      </c>
    </row>
    <row r="49">
      <c r="A49" t="s">
        <v>183</v>
      </c>
      <c r="B49" t="n">
        <v>80344150464.659</v>
      </c>
    </row>
    <row r="50">
      <c r="A50" t="s">
        <v>184</v>
      </c>
      <c r="B50" t="n">
        <v>24139455658.0788</v>
      </c>
    </row>
    <row r="51">
      <c r="A51" t="s">
        <v>185</v>
      </c>
      <c r="B51" t="n">
        <v>8780420096.14233</v>
      </c>
    </row>
    <row r="52">
      <c r="A52" t="s">
        <v>186</v>
      </c>
      <c r="B52" t="n">
        <v>8267526875.89827</v>
      </c>
    </row>
    <row r="53">
      <c r="A53" t="s">
        <v>187</v>
      </c>
      <c r="B53" t="n">
        <v>12243291035.336</v>
      </c>
    </row>
    <row r="54">
      <c r="A54" t="s">
        <v>188</v>
      </c>
      <c r="B54" t="n">
        <v>35449344377.9811</v>
      </c>
    </row>
    <row r="55">
      <c r="A55" t="s">
        <v>189</v>
      </c>
      <c r="B55" t="n">
        <v>34363191349.9613</v>
      </c>
    </row>
    <row r="56">
      <c r="A56" t="s">
        <v>190</v>
      </c>
      <c r="B56" t="n">
        <v>32714196299.3865</v>
      </c>
    </row>
    <row r="57">
      <c r="A57" t="s">
        <v>191</v>
      </c>
      <c r="B57" t="n">
        <v>5218911521.95294</v>
      </c>
    </row>
    <row r="58">
      <c r="A58" t="s">
        <v>192</v>
      </c>
      <c r="B58" t="n">
        <v>8887296270.52046</v>
      </c>
    </row>
    <row r="59">
      <c r="A59" t="s">
        <v>193</v>
      </c>
      <c r="B59" t="n">
        <v>39496488401.7977</v>
      </c>
    </row>
    <row r="60">
      <c r="A60" t="s">
        <v>194</v>
      </c>
      <c r="B60" t="n">
        <v>41282874316.7255</v>
      </c>
    </row>
    <row r="61">
      <c r="A61" t="s">
        <v>195</v>
      </c>
      <c r="B61" t="n">
        <v>11579171981.2368</v>
      </c>
    </row>
    <row r="62">
      <c r="A62" t="s">
        <v>196</v>
      </c>
      <c r="B62" t="n">
        <v>7482688864.8369</v>
      </c>
    </row>
    <row r="63">
      <c r="A63" t="s">
        <v>197</v>
      </c>
      <c r="B63" t="n">
        <v>4844256187.14815</v>
      </c>
    </row>
    <row r="64">
      <c r="A64" t="s">
        <v>198</v>
      </c>
      <c r="B64" t="n">
        <v>7050569058.14279</v>
      </c>
    </row>
    <row r="65">
      <c r="A65" t="s">
        <v>199</v>
      </c>
      <c r="B65" t="n">
        <v>4158608174.54493</v>
      </c>
    </row>
    <row r="66">
      <c r="A66" t="s">
        <v>200</v>
      </c>
      <c r="B66" t="n">
        <v>28700702855.674</v>
      </c>
    </row>
    <row r="67">
      <c r="A67" t="s">
        <v>201</v>
      </c>
      <c r="B67" t="n">
        <v>24875326607.1518</v>
      </c>
    </row>
    <row r="68">
      <c r="A68" t="s">
        <v>202</v>
      </c>
      <c r="B68" t="n">
        <v>9642906367.2069</v>
      </c>
    </row>
    <row r="69">
      <c r="A69" t="s">
        <v>203</v>
      </c>
      <c r="B69" t="n">
        <v>11315352359.5088</v>
      </c>
    </row>
    <row r="70">
      <c r="A70" t="s">
        <v>204</v>
      </c>
      <c r="B70" t="n">
        <v>2324796040.28939</v>
      </c>
    </row>
    <row r="71">
      <c r="A71" t="s">
        <v>205</v>
      </c>
      <c r="B71" t="n">
        <v>84321436292.9575</v>
      </c>
    </row>
    <row r="72">
      <c r="A72" t="s">
        <v>206</v>
      </c>
      <c r="B72" t="n">
        <v>7668102119.96445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xSplit="1" topLeftCell="B9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207</v>
      </c>
    </row>
    <row r="2">
      <c r="A2" t="s">
        <v>208</v>
      </c>
    </row>
    <row r="3">
      <c r="A3" t="s">
        <v>209</v>
      </c>
    </row>
    <row r="4">
      <c r="A4" t="s">
        <v>210</v>
      </c>
    </row>
    <row r="5">
      <c r="A5" t="s">
        <v>211</v>
      </c>
    </row>
    <row r="6">
      <c r="A6" t="s">
        <v>1</v>
      </c>
    </row>
    <row r="8">
      <c r="A8" t="s">
        <v>212</v>
      </c>
      <c r="B8" t="s">
        <v>136</v>
      </c>
      <c r="C8" t="s">
        <v>137</v>
      </c>
      <c r="D8" t="s">
        <v>138</v>
      </c>
      <c r="E8" t="s">
        <v>139</v>
      </c>
      <c r="F8" t="s">
        <v>140</v>
      </c>
      <c r="G8" t="s">
        <v>141</v>
      </c>
      <c r="H8" t="s">
        <v>142</v>
      </c>
      <c r="I8" t="s">
        <v>143</v>
      </c>
      <c r="J8" t="s">
        <v>144</v>
      </c>
      <c r="K8" t="s">
        <v>145</v>
      </c>
      <c r="L8" t="s">
        <v>146</v>
      </c>
      <c r="M8" t="s">
        <v>147</v>
      </c>
      <c r="N8" t="s">
        <v>148</v>
      </c>
      <c r="O8" t="s">
        <v>149</v>
      </c>
      <c r="P8" t="s">
        <v>150</v>
      </c>
      <c r="Q8" t="s">
        <v>151</v>
      </c>
      <c r="R8" t="s">
        <v>152</v>
      </c>
      <c r="S8" t="s">
        <v>153</v>
      </c>
      <c r="T8" t="s">
        <v>154</v>
      </c>
      <c r="U8" t="s">
        <v>155</v>
      </c>
      <c r="V8" t="s">
        <v>156</v>
      </c>
      <c r="W8" t="s">
        <v>157</v>
      </c>
      <c r="X8" t="s">
        <v>158</v>
      </c>
      <c r="Y8" t="s">
        <v>159</v>
      </c>
      <c r="Z8" t="s">
        <v>160</v>
      </c>
      <c r="AA8" t="s">
        <v>161</v>
      </c>
      <c r="AB8" t="s">
        <v>162</v>
      </c>
      <c r="AC8" t="s">
        <v>163</v>
      </c>
      <c r="AD8" t="s">
        <v>164</v>
      </c>
      <c r="AE8" t="s">
        <v>165</v>
      </c>
      <c r="AF8" t="s">
        <v>166</v>
      </c>
      <c r="AG8" t="s">
        <v>167</v>
      </c>
      <c r="AH8" t="s">
        <v>168</v>
      </c>
      <c r="AI8" t="s">
        <v>169</v>
      </c>
      <c r="AJ8" t="s">
        <v>170</v>
      </c>
      <c r="AK8" t="s">
        <v>171</v>
      </c>
      <c r="AL8" t="s">
        <v>172</v>
      </c>
      <c r="AM8" t="s">
        <v>173</v>
      </c>
      <c r="AN8" t="s">
        <v>174</v>
      </c>
      <c r="AO8" t="s">
        <v>175</v>
      </c>
      <c r="AP8" t="s">
        <v>176</v>
      </c>
      <c r="AQ8" t="s">
        <v>177</v>
      </c>
      <c r="AR8" t="s">
        <v>178</v>
      </c>
      <c r="AS8" t="s">
        <v>179</v>
      </c>
      <c r="AT8" t="s">
        <v>180</v>
      </c>
      <c r="AU8" t="s">
        <v>181</v>
      </c>
      <c r="AV8" t="s">
        <v>182</v>
      </c>
      <c r="AW8" t="s">
        <v>183</v>
      </c>
      <c r="AX8" t="s">
        <v>184</v>
      </c>
      <c r="AY8" t="s">
        <v>185</v>
      </c>
      <c r="AZ8" t="s">
        <v>186</v>
      </c>
      <c r="BA8" t="s">
        <v>187</v>
      </c>
      <c r="BB8" t="s">
        <v>188</v>
      </c>
      <c r="BC8" t="s">
        <v>189</v>
      </c>
      <c r="BD8" t="s">
        <v>190</v>
      </c>
      <c r="BE8" t="s">
        <v>191</v>
      </c>
      <c r="BF8" t="s">
        <v>192</v>
      </c>
      <c r="BG8" t="s">
        <v>193</v>
      </c>
      <c r="BH8" t="s">
        <v>194</v>
      </c>
      <c r="BI8" t="s">
        <v>195</v>
      </c>
      <c r="BJ8" t="s">
        <v>196</v>
      </c>
      <c r="BK8" t="s">
        <v>197</v>
      </c>
      <c r="BL8" t="s">
        <v>198</v>
      </c>
      <c r="BM8" t="s">
        <v>199</v>
      </c>
      <c r="BN8" t="s">
        <v>200</v>
      </c>
      <c r="BO8" t="s">
        <v>201</v>
      </c>
      <c r="BP8" t="s">
        <v>202</v>
      </c>
      <c r="BQ8" t="s">
        <v>203</v>
      </c>
      <c r="BR8" t="s">
        <v>204</v>
      </c>
      <c r="BS8" t="s">
        <v>205</v>
      </c>
      <c r="BT8" t="s">
        <v>206</v>
      </c>
      <c r="BU8" t="s">
        <v>213</v>
      </c>
      <c r="BV8" t="s">
        <v>214</v>
      </c>
    </row>
    <row r="9">
      <c r="A9" t="s">
        <v>136</v>
      </c>
      <c r="B9" t="n">
        <v>7307494722.21802</v>
      </c>
      <c r="C9" t="n">
        <v>82647436.7061173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111092.0827804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29423036.7861946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</row>
    <row r="10">
      <c r="A10" t="s">
        <v>137</v>
      </c>
      <c r="B10" t="n">
        <v>132019.301058607</v>
      </c>
      <c r="C10" t="n">
        <v>771122653.652746</v>
      </c>
      <c r="D10" t="n">
        <v>0</v>
      </c>
      <c r="E10" t="n">
        <v>0</v>
      </c>
      <c r="F10" t="n">
        <v>0</v>
      </c>
      <c r="G10" t="n">
        <v>0</v>
      </c>
      <c r="H10" t="n">
        <v>2499878.90048014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</row>
    <row r="11">
      <c r="A11" t="s">
        <v>138</v>
      </c>
      <c r="B11" t="n">
        <v>0</v>
      </c>
      <c r="C11" t="n">
        <v>0</v>
      </c>
      <c r="D11" t="n">
        <v>3371937499.89679</v>
      </c>
      <c r="E11" t="n">
        <v>4722293.29411679</v>
      </c>
      <c r="F11" t="n">
        <v>771711933.568232</v>
      </c>
      <c r="G11" t="n">
        <v>0</v>
      </c>
      <c r="H11" t="n">
        <v>78462466.7473389</v>
      </c>
      <c r="I11" t="n">
        <v>0</v>
      </c>
      <c r="J11" t="n">
        <v>0</v>
      </c>
      <c r="K11" t="n">
        <v>0</v>
      </c>
      <c r="L11" t="n">
        <v>0</v>
      </c>
      <c r="M11" t="n">
        <v>7413990.83909969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866063803.931202</v>
      </c>
      <c r="Z11" t="n">
        <v>9671092.10582961</v>
      </c>
      <c r="AA11" t="n">
        <v>0</v>
      </c>
      <c r="AB11" t="n">
        <v>73344328.5812947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7606774.15503824</v>
      </c>
      <c r="BB11" t="n">
        <v>42165945.6248416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</row>
    <row r="12">
      <c r="A12" t="s">
        <v>139</v>
      </c>
      <c r="B12" t="n">
        <v>0</v>
      </c>
      <c r="C12" t="n">
        <v>0</v>
      </c>
      <c r="D12" t="n">
        <v>0</v>
      </c>
      <c r="E12" t="n">
        <v>1908970630.32333</v>
      </c>
      <c r="F12" t="n">
        <v>69422083.6355815</v>
      </c>
      <c r="G12" t="n">
        <v>0</v>
      </c>
      <c r="H12" t="n">
        <v>128806720.490468</v>
      </c>
      <c r="I12" t="n">
        <v>0</v>
      </c>
      <c r="J12" t="n">
        <v>1688224.47277818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399360.281435649</v>
      </c>
      <c r="Z12" t="n">
        <v>15682460.6979124</v>
      </c>
      <c r="AA12" t="n">
        <v>0</v>
      </c>
      <c r="AB12" t="n">
        <v>5266428.62206009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32309.3780494484</v>
      </c>
      <c r="BB12" t="n">
        <v>1066209.4756318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</row>
    <row r="13">
      <c r="A13" t="s">
        <v>140</v>
      </c>
      <c r="B13" t="n">
        <v>0</v>
      </c>
      <c r="C13" t="n">
        <v>0</v>
      </c>
      <c r="D13" t="n">
        <v>545998.138518567</v>
      </c>
      <c r="E13" t="n">
        <v>0</v>
      </c>
      <c r="F13" t="n">
        <v>1578728254.03201</v>
      </c>
      <c r="G13" t="n">
        <v>0</v>
      </c>
      <c r="H13" t="n">
        <v>105079202.90175</v>
      </c>
      <c r="I13" t="n">
        <v>0</v>
      </c>
      <c r="J13" t="n">
        <v>0</v>
      </c>
      <c r="K13" t="n">
        <v>0</v>
      </c>
      <c r="L13" t="n">
        <v>4769589.54108759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365533.915686891</v>
      </c>
      <c r="Z13" t="n">
        <v>0</v>
      </c>
      <c r="AA13" t="n">
        <v>0</v>
      </c>
      <c r="AB13" t="n">
        <v>5834938.98353423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641340.276207426</v>
      </c>
      <c r="BB13" t="n">
        <v>4112122.94744761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</row>
    <row r="14">
      <c r="A14" t="s">
        <v>141</v>
      </c>
      <c r="B14" t="n">
        <v>0</v>
      </c>
      <c r="C14" t="n">
        <v>0</v>
      </c>
      <c r="D14" t="n">
        <v>342476.244645336</v>
      </c>
      <c r="E14" t="n">
        <v>0</v>
      </c>
      <c r="F14" t="n">
        <v>0</v>
      </c>
      <c r="G14" t="n">
        <v>16146013218.5088</v>
      </c>
      <c r="H14" t="n">
        <v>87537142.3402562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47942336.9996508</v>
      </c>
      <c r="AC14" t="n">
        <v>0</v>
      </c>
      <c r="AD14" t="n">
        <v>0</v>
      </c>
      <c r="AE14" t="n">
        <v>0</v>
      </c>
      <c r="AF14" t="n">
        <v>28720626.1679028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92814317.527009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13208929.4068417</v>
      </c>
      <c r="BB14" t="n">
        <v>3933894.23012478</v>
      </c>
      <c r="BC14" t="n">
        <v>0</v>
      </c>
      <c r="BD14" t="n">
        <v>0</v>
      </c>
      <c r="BE14" t="n">
        <v>264613.116040784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142995456.12104</v>
      </c>
      <c r="BU14" t="n">
        <v>0</v>
      </c>
      <c r="BV14" t="n">
        <v>0</v>
      </c>
    </row>
    <row r="15">
      <c r="A15" t="s">
        <v>142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50266849933.7327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10478428.4528505</v>
      </c>
      <c r="BB15" t="n">
        <v>667600.704752251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t="s">
        <v>143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22685537.9212413</v>
      </c>
      <c r="I16" t="n">
        <v>3525627571.49015</v>
      </c>
      <c r="J16" t="n">
        <v>1992637.12662016</v>
      </c>
      <c r="K16" t="n">
        <v>0</v>
      </c>
      <c r="L16" t="n">
        <v>8851532.39128868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12137772.4788207</v>
      </c>
      <c r="S16" t="n">
        <v>0</v>
      </c>
      <c r="T16" t="n">
        <v>0</v>
      </c>
      <c r="U16" t="n">
        <v>0</v>
      </c>
      <c r="V16" t="n">
        <v>0</v>
      </c>
      <c r="W16" t="n">
        <v>322293.990809898</v>
      </c>
      <c r="X16" t="n">
        <v>0</v>
      </c>
      <c r="Y16" t="n">
        <v>0</v>
      </c>
      <c r="Z16" t="n">
        <v>463276.772608788</v>
      </c>
      <c r="AA16" t="n">
        <v>1762485.11842675</v>
      </c>
      <c r="AB16" t="n">
        <v>39699691.3621723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704917.845010323</v>
      </c>
      <c r="BB16" t="n">
        <v>3396422.34414065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9163931.9851342</v>
      </c>
      <c r="BV16" t="n">
        <v>0</v>
      </c>
    </row>
    <row r="17">
      <c r="A17" t="s">
        <v>144</v>
      </c>
      <c r="B17" t="n">
        <v>0</v>
      </c>
      <c r="C17" t="n">
        <v>0</v>
      </c>
      <c r="D17" t="n">
        <v>0</v>
      </c>
      <c r="E17" t="n">
        <v>50458690.1935435</v>
      </c>
      <c r="F17" t="n">
        <v>0</v>
      </c>
      <c r="G17" t="n">
        <v>0</v>
      </c>
      <c r="H17" t="n">
        <v>74982861.748875</v>
      </c>
      <c r="I17" t="n">
        <v>1078702.73086896</v>
      </c>
      <c r="J17" t="n">
        <v>8008029115.23238</v>
      </c>
      <c r="K17" t="n">
        <v>67211.4461631136</v>
      </c>
      <c r="L17" t="n">
        <v>3293460.13411302</v>
      </c>
      <c r="M17" t="n">
        <v>444360.733944865</v>
      </c>
      <c r="N17" t="n">
        <v>0</v>
      </c>
      <c r="O17" t="n">
        <v>3854723.07195708</v>
      </c>
      <c r="P17" t="n">
        <v>408441.090532308</v>
      </c>
      <c r="Q17" t="n">
        <v>15979.8005095882</v>
      </c>
      <c r="R17" t="n">
        <v>5568447.40852906</v>
      </c>
      <c r="S17" t="n">
        <v>448606.881900579</v>
      </c>
      <c r="T17" t="n">
        <v>0</v>
      </c>
      <c r="U17" t="n">
        <v>1538786.21051806</v>
      </c>
      <c r="V17" t="n">
        <v>1762004.64607401</v>
      </c>
      <c r="W17" t="n">
        <v>1790268.09642576</v>
      </c>
      <c r="X17" t="n">
        <v>0</v>
      </c>
      <c r="Y17" t="n">
        <v>2128220.41987057</v>
      </c>
      <c r="Z17" t="n">
        <v>3329410.32430973</v>
      </c>
      <c r="AA17" t="n">
        <v>8521070.05695718</v>
      </c>
      <c r="AB17" t="n">
        <v>108274007.83655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3266888.16748211</v>
      </c>
      <c r="BB17" t="n">
        <v>67282339.6398101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311132.206426867</v>
      </c>
      <c r="BV17" t="n">
        <v>0</v>
      </c>
    </row>
    <row r="18">
      <c r="A18" t="s">
        <v>145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14293766.933891</v>
      </c>
      <c r="I18" t="n">
        <v>0</v>
      </c>
      <c r="J18" t="n">
        <v>4666686.36877014</v>
      </c>
      <c r="K18" t="n">
        <v>17808799394.053</v>
      </c>
      <c r="L18" t="n">
        <v>115037931.136634</v>
      </c>
      <c r="M18" t="n">
        <v>12397478.5978302</v>
      </c>
      <c r="N18" t="n">
        <v>77797.1611745622</v>
      </c>
      <c r="O18" t="n">
        <v>6609371.08841992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95728.5901620519</v>
      </c>
      <c r="V18" t="n">
        <v>0</v>
      </c>
      <c r="W18" t="n">
        <v>61170.8037662619</v>
      </c>
      <c r="X18" t="n">
        <v>0</v>
      </c>
      <c r="Y18" t="n">
        <v>22997254.1747707</v>
      </c>
      <c r="Z18" t="n">
        <v>8677116.89284115</v>
      </c>
      <c r="AA18" t="n">
        <v>0</v>
      </c>
      <c r="AB18" t="n">
        <v>56594020.2992271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5578055.38883553</v>
      </c>
      <c r="BB18" t="n">
        <v>27367334.2514743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29807733.4840899</v>
      </c>
      <c r="BV18" t="n">
        <v>0</v>
      </c>
    </row>
    <row r="19">
      <c r="A19" t="s">
        <v>146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151593804.545484</v>
      </c>
      <c r="I19" t="n">
        <v>10585137.1980202</v>
      </c>
      <c r="J19" t="n">
        <v>8784022.8816165</v>
      </c>
      <c r="K19" t="n">
        <v>174202796.646495</v>
      </c>
      <c r="L19" t="n">
        <v>26931931843.3835</v>
      </c>
      <c r="M19" t="n">
        <v>145639137.723383</v>
      </c>
      <c r="N19" t="n">
        <v>37032674.6671778</v>
      </c>
      <c r="O19" t="n">
        <v>4921628.57243018</v>
      </c>
      <c r="P19" t="n">
        <v>11754515.7770671</v>
      </c>
      <c r="Q19" t="n">
        <v>2981386.60301423</v>
      </c>
      <c r="R19" t="n">
        <v>2243059.77672248</v>
      </c>
      <c r="S19" t="n">
        <v>9152687.27257962</v>
      </c>
      <c r="T19" t="n">
        <v>0</v>
      </c>
      <c r="U19" t="n">
        <v>5139122.52838382</v>
      </c>
      <c r="V19" t="n">
        <v>0</v>
      </c>
      <c r="W19" t="n">
        <v>57956.1267275152</v>
      </c>
      <c r="X19" t="n">
        <v>3887020.62937139</v>
      </c>
      <c r="Y19" t="n">
        <v>50593.8223068765</v>
      </c>
      <c r="Z19" t="n">
        <v>1564540.59563026</v>
      </c>
      <c r="AA19" t="n">
        <v>22438295.7944388</v>
      </c>
      <c r="AB19" t="n">
        <v>213386000.138873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18520510.0575931</v>
      </c>
      <c r="BB19" t="n">
        <v>167256211.199128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23093475.5039123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194865490.08128</v>
      </c>
      <c r="BV19" t="n">
        <v>0</v>
      </c>
    </row>
    <row r="20">
      <c r="A20" t="s">
        <v>147</v>
      </c>
      <c r="B20" t="n">
        <v>0</v>
      </c>
      <c r="C20" t="n">
        <v>0</v>
      </c>
      <c r="D20" t="n">
        <v>0</v>
      </c>
      <c r="E20" t="n">
        <v>0</v>
      </c>
      <c r="F20" t="n">
        <v>44482.6952754777</v>
      </c>
      <c r="G20" t="n">
        <v>0</v>
      </c>
      <c r="H20" t="n">
        <v>29269613.4912643</v>
      </c>
      <c r="I20" t="n">
        <v>0</v>
      </c>
      <c r="J20" t="n">
        <v>1250013.20186204</v>
      </c>
      <c r="K20" t="n">
        <v>611578.855038598</v>
      </c>
      <c r="L20" t="n">
        <v>86634854.3910547</v>
      </c>
      <c r="M20" t="n">
        <v>20351652636.9196</v>
      </c>
      <c r="N20" t="n">
        <v>29775268.4347335</v>
      </c>
      <c r="O20" t="n">
        <v>21188163.9617529</v>
      </c>
      <c r="P20" t="n">
        <v>10134254.1495372</v>
      </c>
      <c r="Q20" t="n">
        <v>7050221.55556119</v>
      </c>
      <c r="R20" t="n">
        <v>258849.768391658</v>
      </c>
      <c r="S20" t="n">
        <v>2535440.95710756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3530545.26617468</v>
      </c>
      <c r="AA20" t="n">
        <v>380949.519944355</v>
      </c>
      <c r="AB20" t="n">
        <v>225215886.179744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578275.03858121</v>
      </c>
      <c r="AZ20" t="n">
        <v>0</v>
      </c>
      <c r="BA20" t="n">
        <v>27801684.5471735</v>
      </c>
      <c r="BB20" t="n">
        <v>404481148.139919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13789635.5353981</v>
      </c>
      <c r="BV20" t="n">
        <v>0</v>
      </c>
    </row>
    <row r="21">
      <c r="A21" t="s">
        <v>148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121872.134769277</v>
      </c>
      <c r="I21" t="n">
        <v>0</v>
      </c>
      <c r="J21" t="n">
        <v>19187.7426088658</v>
      </c>
      <c r="K21" t="n">
        <v>99701.8536824004</v>
      </c>
      <c r="L21" t="n">
        <v>254527.216046965</v>
      </c>
      <c r="M21" t="n">
        <v>948658.945499587</v>
      </c>
      <c r="N21" t="n">
        <v>3047608186.18263</v>
      </c>
      <c r="O21" t="n">
        <v>232984.821176092</v>
      </c>
      <c r="P21" t="n">
        <v>3331.90285001381</v>
      </c>
      <c r="Q21" t="n">
        <v>777388.952526396</v>
      </c>
      <c r="R21" t="n">
        <v>0</v>
      </c>
      <c r="S21" t="n">
        <v>3276529.38280891</v>
      </c>
      <c r="T21" t="n">
        <v>0</v>
      </c>
      <c r="U21" t="n">
        <v>16055.1302906544</v>
      </c>
      <c r="V21" t="n">
        <v>0</v>
      </c>
      <c r="W21" t="n">
        <v>1446.59248069051</v>
      </c>
      <c r="X21" t="n">
        <v>2138.10762753118</v>
      </c>
      <c r="Y21" t="n">
        <v>0</v>
      </c>
      <c r="Z21" t="n">
        <v>316195.630682548</v>
      </c>
      <c r="AA21" t="n">
        <v>145698.402738844</v>
      </c>
      <c r="AB21" t="n">
        <v>5413688.51290895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2501585.92421148</v>
      </c>
      <c r="BB21" t="n">
        <v>113655387.156675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s">
        <v>149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8431616.25992689</v>
      </c>
      <c r="I22" t="n">
        <v>0</v>
      </c>
      <c r="J22" t="n">
        <v>9506796.81105132</v>
      </c>
      <c r="K22" t="n">
        <v>62989054.3687682</v>
      </c>
      <c r="L22" t="n">
        <v>26439817.3191191</v>
      </c>
      <c r="M22" t="n">
        <v>38087204.1859492</v>
      </c>
      <c r="N22" t="n">
        <v>34375600.8120859</v>
      </c>
      <c r="O22" t="n">
        <v>9284692494.60237</v>
      </c>
      <c r="P22" t="n">
        <v>8907391.71692813</v>
      </c>
      <c r="Q22" t="n">
        <v>0</v>
      </c>
      <c r="R22" t="n">
        <v>650642.47811496</v>
      </c>
      <c r="S22" t="n">
        <v>1245690.52667572</v>
      </c>
      <c r="T22" t="n">
        <v>0</v>
      </c>
      <c r="U22" t="n">
        <v>0</v>
      </c>
      <c r="V22" t="n">
        <v>0</v>
      </c>
      <c r="W22" t="n">
        <v>5552159.65414913</v>
      </c>
      <c r="X22" t="n">
        <v>0</v>
      </c>
      <c r="Y22" t="n">
        <v>188763.101582728</v>
      </c>
      <c r="Z22" t="n">
        <v>77610.6312545458</v>
      </c>
      <c r="AA22" t="n">
        <v>8375653.135601</v>
      </c>
      <c r="AB22" t="n">
        <v>252542144.845521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18894947.2812819</v>
      </c>
      <c r="BB22" t="n">
        <v>291551068.264942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s">
        <v>150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52563383.9251051</v>
      </c>
      <c r="I23" t="n">
        <v>0</v>
      </c>
      <c r="J23" t="n">
        <v>0</v>
      </c>
      <c r="K23" t="n">
        <v>4663007.62704152</v>
      </c>
      <c r="L23" t="n">
        <v>164152397.409404</v>
      </c>
      <c r="M23" t="n">
        <v>142811742.498538</v>
      </c>
      <c r="N23" t="n">
        <v>7740321.07566168</v>
      </c>
      <c r="O23" t="n">
        <v>7249722.11005365</v>
      </c>
      <c r="P23" t="n">
        <v>45656883244.1895</v>
      </c>
      <c r="Q23" t="n">
        <v>72071681.8326109</v>
      </c>
      <c r="R23" t="n">
        <v>0</v>
      </c>
      <c r="S23" t="n">
        <v>1719112.521351</v>
      </c>
      <c r="T23" t="n">
        <v>0</v>
      </c>
      <c r="U23" t="n">
        <v>53223306.1541513</v>
      </c>
      <c r="V23" t="n">
        <v>0</v>
      </c>
      <c r="W23" t="n">
        <v>0</v>
      </c>
      <c r="X23" t="n">
        <v>0</v>
      </c>
      <c r="Y23" t="n">
        <v>0</v>
      </c>
      <c r="Z23" t="n">
        <v>716439.66683247</v>
      </c>
      <c r="AA23" t="n">
        <v>14389960.6032141</v>
      </c>
      <c r="AB23" t="n">
        <v>295229422.190554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26614371.6076482</v>
      </c>
      <c r="BB23" t="n">
        <v>1370164881.15803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35168991.0529637</v>
      </c>
      <c r="BV23" t="n">
        <v>0</v>
      </c>
    </row>
    <row r="24">
      <c r="A24" t="s">
        <v>151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25512844.1949534</v>
      </c>
      <c r="I24" t="n">
        <v>0</v>
      </c>
      <c r="J24" t="n">
        <v>0</v>
      </c>
      <c r="K24" t="n">
        <v>22883.5037596825</v>
      </c>
      <c r="L24" t="n">
        <v>6773373.73935039</v>
      </c>
      <c r="M24" t="n">
        <v>10218427.7396254</v>
      </c>
      <c r="N24" t="n">
        <v>32184988.3463216</v>
      </c>
      <c r="O24" t="n">
        <v>4683224.04368369</v>
      </c>
      <c r="P24" t="n">
        <v>15564787.5330068</v>
      </c>
      <c r="Q24" t="n">
        <v>11655901197.3158</v>
      </c>
      <c r="R24" t="n">
        <v>0</v>
      </c>
      <c r="S24" t="n">
        <v>320313.328514381</v>
      </c>
      <c r="T24" t="n">
        <v>0</v>
      </c>
      <c r="U24" t="n">
        <v>0</v>
      </c>
      <c r="V24" t="n">
        <v>39646.6157719686</v>
      </c>
      <c r="W24" t="n">
        <v>0</v>
      </c>
      <c r="X24" t="n">
        <v>0</v>
      </c>
      <c r="Y24" t="n">
        <v>0</v>
      </c>
      <c r="Z24" t="n">
        <v>453712.426573734</v>
      </c>
      <c r="AA24" t="n">
        <v>2166126.12648476</v>
      </c>
      <c r="AB24" t="n">
        <v>41491476.7184363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16832003.321238</v>
      </c>
      <c r="BB24" t="n">
        <v>414738207.708966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1177063.16931734</v>
      </c>
      <c r="BV24" t="n">
        <v>0</v>
      </c>
    </row>
    <row r="25">
      <c r="A25" t="s">
        <v>152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11039030.1572695</v>
      </c>
      <c r="I25" t="n">
        <v>7566589.98887462</v>
      </c>
      <c r="J25" t="n">
        <v>571481.991055264</v>
      </c>
      <c r="K25" t="n">
        <v>549543.893281657</v>
      </c>
      <c r="L25" t="n">
        <v>3158805.16016029</v>
      </c>
      <c r="M25" t="n">
        <v>1386675.98165495</v>
      </c>
      <c r="N25" t="n">
        <v>384776.757625033</v>
      </c>
      <c r="O25" t="n">
        <v>339103.076275407</v>
      </c>
      <c r="P25" t="n">
        <v>0</v>
      </c>
      <c r="Q25" t="n">
        <v>0</v>
      </c>
      <c r="R25" t="n">
        <v>2519574800.26639</v>
      </c>
      <c r="S25" t="n">
        <v>3894118.06079718</v>
      </c>
      <c r="T25" t="n">
        <v>0</v>
      </c>
      <c r="U25" t="n">
        <v>1861529.85949509</v>
      </c>
      <c r="V25" t="n">
        <v>61414.7224960967</v>
      </c>
      <c r="W25" t="n">
        <v>28955.1271115088</v>
      </c>
      <c r="X25" t="n">
        <v>188012.679077583</v>
      </c>
      <c r="Y25" t="n">
        <v>0</v>
      </c>
      <c r="Z25" t="n">
        <v>195589.375369154</v>
      </c>
      <c r="AA25" t="n">
        <v>255694.298535604</v>
      </c>
      <c r="AB25" t="n">
        <v>23071841.6182348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1611537.24923642</v>
      </c>
      <c r="BB25" t="n">
        <v>7278776.57571785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s">
        <v>153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11974161.0827797</v>
      </c>
      <c r="I26" t="n">
        <v>1176758.76721362</v>
      </c>
      <c r="J26" t="n">
        <v>450453.662941456</v>
      </c>
      <c r="K26" t="n">
        <v>126922.9710615</v>
      </c>
      <c r="L26" t="n">
        <v>16158170.198682</v>
      </c>
      <c r="M26" t="n">
        <v>3060228.37250374</v>
      </c>
      <c r="N26" t="n">
        <v>22061954.6321548</v>
      </c>
      <c r="O26" t="n">
        <v>275605.939612307</v>
      </c>
      <c r="P26" t="n">
        <v>56127.2304860408</v>
      </c>
      <c r="Q26" t="n">
        <v>222408.162327183</v>
      </c>
      <c r="R26" t="n">
        <v>4194715.31645727</v>
      </c>
      <c r="S26" t="n">
        <v>3742172796.89794</v>
      </c>
      <c r="T26" t="n">
        <v>43644.752579487</v>
      </c>
      <c r="U26" t="n">
        <v>1087645.94367388</v>
      </c>
      <c r="V26" t="n">
        <v>14225956.042471</v>
      </c>
      <c r="W26" t="n">
        <v>919751.282928826</v>
      </c>
      <c r="X26" t="n">
        <v>7481613.35217025</v>
      </c>
      <c r="Y26" t="n">
        <v>2557.99188394264</v>
      </c>
      <c r="Z26" t="n">
        <v>2538187.17916342</v>
      </c>
      <c r="AA26" t="n">
        <v>6017767.79872716</v>
      </c>
      <c r="AB26" t="n">
        <v>100411126.568601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6300305.98077494</v>
      </c>
      <c r="BB26" t="n">
        <v>243170332.542069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s">
        <v>154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4964313.59505378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76507.5370734126</v>
      </c>
      <c r="T27" t="n">
        <v>39620919653.2313</v>
      </c>
      <c r="U27" t="n">
        <v>0</v>
      </c>
      <c r="V27" t="n">
        <v>12632036.4102002</v>
      </c>
      <c r="W27" t="n">
        <v>966075.167308577</v>
      </c>
      <c r="X27" t="n">
        <v>0</v>
      </c>
      <c r="Y27" t="n">
        <v>134864.164125896</v>
      </c>
      <c r="Z27" t="n">
        <v>40905284.3599876</v>
      </c>
      <c r="AA27" t="n">
        <v>0</v>
      </c>
      <c r="AB27" t="n">
        <v>333060312.104517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3864266.83251345</v>
      </c>
      <c r="BB27" t="n">
        <v>81347047.7734949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</row>
    <row r="28">
      <c r="A28" t="s">
        <v>155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418664.668155816</v>
      </c>
      <c r="I28" t="n">
        <v>0</v>
      </c>
      <c r="J28" t="n">
        <v>12871.8540314184</v>
      </c>
      <c r="K28" t="n">
        <v>0</v>
      </c>
      <c r="L28" t="n">
        <v>845972.451179746</v>
      </c>
      <c r="M28" t="n">
        <v>55669.5515882683</v>
      </c>
      <c r="N28" t="n">
        <v>340980.463510918</v>
      </c>
      <c r="O28" t="n">
        <v>0</v>
      </c>
      <c r="P28" t="n">
        <v>1818893.3257008</v>
      </c>
      <c r="Q28" t="n">
        <v>0</v>
      </c>
      <c r="R28" t="n">
        <v>335662.367459337</v>
      </c>
      <c r="S28" t="n">
        <v>150841.769966022</v>
      </c>
      <c r="T28" t="n">
        <v>0</v>
      </c>
      <c r="U28" t="n">
        <v>1136448272.26743</v>
      </c>
      <c r="V28" t="n">
        <v>1242238.91713479</v>
      </c>
      <c r="W28" t="n">
        <v>13322.2806356335</v>
      </c>
      <c r="X28" t="n">
        <v>1484356.55073426</v>
      </c>
      <c r="Y28" t="n">
        <v>0</v>
      </c>
      <c r="Z28" t="n">
        <v>20706926.211176</v>
      </c>
      <c r="AA28" t="n">
        <v>3772412.91153491</v>
      </c>
      <c r="AB28" t="n">
        <v>4957370.27520864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114181.273133404</v>
      </c>
      <c r="BB28" t="n">
        <v>2683259.918635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s">
        <v>156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20325.2281954608</v>
      </c>
      <c r="I29" t="n">
        <v>0</v>
      </c>
      <c r="J29" t="n">
        <v>271760.578410295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174085.4231271</v>
      </c>
      <c r="T29" t="n">
        <v>6233110.71697406</v>
      </c>
      <c r="U29" t="n">
        <v>1865486.33881091</v>
      </c>
      <c r="V29" t="n">
        <v>325123444.318531</v>
      </c>
      <c r="W29" t="n">
        <v>0</v>
      </c>
      <c r="X29" t="n">
        <v>172764.439661417</v>
      </c>
      <c r="Y29" t="n">
        <v>0</v>
      </c>
      <c r="Z29" t="n">
        <v>1391259.76795253</v>
      </c>
      <c r="AA29" t="n">
        <v>16823.2898792145</v>
      </c>
      <c r="AB29" t="n">
        <v>3810980.28664891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182927.053759148</v>
      </c>
      <c r="BB29" t="n">
        <v>2367889.08477119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s">
        <v>157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2918554.56268899</v>
      </c>
      <c r="I30" t="n">
        <v>9057317.11719481</v>
      </c>
      <c r="J30" t="n">
        <v>182295.781894572</v>
      </c>
      <c r="K30" t="n">
        <v>0</v>
      </c>
      <c r="L30" t="n">
        <v>0</v>
      </c>
      <c r="M30" t="n">
        <v>0</v>
      </c>
      <c r="N30" t="n">
        <v>2785983.4734663</v>
      </c>
      <c r="O30" t="n">
        <v>0</v>
      </c>
      <c r="P30" t="n">
        <v>0</v>
      </c>
      <c r="Q30" t="n">
        <v>0</v>
      </c>
      <c r="R30" t="n">
        <v>0</v>
      </c>
      <c r="S30" t="n">
        <v>200771.751014291</v>
      </c>
      <c r="T30" t="n">
        <v>0</v>
      </c>
      <c r="U30" t="n">
        <v>6460952.82839472</v>
      </c>
      <c r="V30" t="n">
        <v>0</v>
      </c>
      <c r="W30" t="n">
        <v>7589787544.30948</v>
      </c>
      <c r="X30" t="n">
        <v>6475542.93596619</v>
      </c>
      <c r="Y30" t="n">
        <v>0</v>
      </c>
      <c r="Z30" t="n">
        <v>451078.609843853</v>
      </c>
      <c r="AA30" t="n">
        <v>6768366.09858879</v>
      </c>
      <c r="AB30" t="n">
        <v>38792454.3957411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1672088.55154057</v>
      </c>
      <c r="BB30" t="n">
        <v>24230083.1923242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14835985.693669</v>
      </c>
      <c r="BV30" t="n">
        <v>0</v>
      </c>
    </row>
    <row r="31">
      <c r="A31" t="s">
        <v>158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783920.885009463</v>
      </c>
      <c r="I31" t="n">
        <v>633972.099406997</v>
      </c>
      <c r="J31" t="n">
        <v>0</v>
      </c>
      <c r="K31" t="n">
        <v>0</v>
      </c>
      <c r="L31" t="n">
        <v>5869151.46939303</v>
      </c>
      <c r="M31" t="n">
        <v>3373516.45103958</v>
      </c>
      <c r="N31" t="n">
        <v>791412.200599464</v>
      </c>
      <c r="O31" t="n">
        <v>314508.296843413</v>
      </c>
      <c r="P31" t="n">
        <v>0</v>
      </c>
      <c r="Q31" t="n">
        <v>0</v>
      </c>
      <c r="R31" t="n">
        <v>725374.051833177</v>
      </c>
      <c r="S31" t="n">
        <v>31481615.4900686</v>
      </c>
      <c r="T31" t="n">
        <v>0</v>
      </c>
      <c r="U31" t="n">
        <v>21577174.2272595</v>
      </c>
      <c r="V31" t="n">
        <v>395547.809938465</v>
      </c>
      <c r="W31" t="n">
        <v>27097654.9255356</v>
      </c>
      <c r="X31" t="n">
        <v>2809664677.86039</v>
      </c>
      <c r="Y31" t="n">
        <v>0</v>
      </c>
      <c r="Z31" t="n">
        <v>0</v>
      </c>
      <c r="AA31" t="n">
        <v>7230311.07802215</v>
      </c>
      <c r="AB31" t="n">
        <v>31910191.3192087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8761468.71481165</v>
      </c>
      <c r="BB31" t="n">
        <v>765060670.776</v>
      </c>
      <c r="BC31" t="n">
        <v>0</v>
      </c>
      <c r="BD31" t="n">
        <v>12911638.1060382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7331965.92450028</v>
      </c>
      <c r="BV31" t="n">
        <v>0</v>
      </c>
    </row>
    <row r="32">
      <c r="A32" t="s">
        <v>159</v>
      </c>
      <c r="B32" t="n">
        <v>0</v>
      </c>
      <c r="C32" t="n">
        <v>0</v>
      </c>
      <c r="D32" t="n">
        <v>5110.79723625072</v>
      </c>
      <c r="E32" t="n">
        <v>2857365.1535076</v>
      </c>
      <c r="F32" t="n">
        <v>0</v>
      </c>
      <c r="G32" t="n">
        <v>0</v>
      </c>
      <c r="H32" t="n">
        <v>13597173.3272261</v>
      </c>
      <c r="I32" t="n">
        <v>0</v>
      </c>
      <c r="J32" t="n">
        <v>6569649.30296718</v>
      </c>
      <c r="K32" t="n">
        <v>4568457.12064621</v>
      </c>
      <c r="L32" t="n">
        <v>0</v>
      </c>
      <c r="M32" t="n">
        <v>0</v>
      </c>
      <c r="N32" t="n">
        <v>0</v>
      </c>
      <c r="O32" t="n">
        <v>140043.275620044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25446295882.7676</v>
      </c>
      <c r="Z32" t="n">
        <v>1485418670.24752</v>
      </c>
      <c r="AA32" t="n">
        <v>0</v>
      </c>
      <c r="AB32" t="n">
        <v>606658113.180323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2193092.47213324</v>
      </c>
      <c r="BB32" t="n">
        <v>34407184.118357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s">
        <v>160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6175868.92437315</v>
      </c>
      <c r="I33" t="n">
        <v>75228.3874729831</v>
      </c>
      <c r="J33" t="n">
        <v>2486884.25302286</v>
      </c>
      <c r="K33" t="n">
        <v>137498.600846601</v>
      </c>
      <c r="L33" t="n">
        <v>1868603.00921582</v>
      </c>
      <c r="M33" t="n">
        <v>5744630.13632533</v>
      </c>
      <c r="N33" t="n">
        <v>82831580.647098</v>
      </c>
      <c r="O33" t="n">
        <v>549358.943573874</v>
      </c>
      <c r="P33" t="n">
        <v>8028.66646246613</v>
      </c>
      <c r="Q33" t="n">
        <v>0</v>
      </c>
      <c r="R33" t="n">
        <v>0</v>
      </c>
      <c r="S33" t="n">
        <v>93644403.4355744</v>
      </c>
      <c r="T33" t="n">
        <v>299585637.375894</v>
      </c>
      <c r="U33" t="n">
        <v>57553.1374935729</v>
      </c>
      <c r="V33" t="n">
        <v>5936797.28537676</v>
      </c>
      <c r="W33" t="n">
        <v>5393492.50822515</v>
      </c>
      <c r="X33" t="n">
        <v>0</v>
      </c>
      <c r="Y33" t="n">
        <v>89142694.3061201</v>
      </c>
      <c r="Z33" t="n">
        <v>34770314782.6052</v>
      </c>
      <c r="AA33" t="n">
        <v>45900981.6541261</v>
      </c>
      <c r="AB33" t="n">
        <v>458839871.72088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16352457.9695666</v>
      </c>
      <c r="BB33" t="n">
        <v>2291325054.82828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s">
        <v>161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11035537.1190535</v>
      </c>
      <c r="I34" t="n">
        <v>14366387.2631599</v>
      </c>
      <c r="J34" t="n">
        <v>1926197.23651926</v>
      </c>
      <c r="K34" t="n">
        <v>487305.308378654</v>
      </c>
      <c r="L34" t="n">
        <v>46788057.959347</v>
      </c>
      <c r="M34" t="n">
        <v>25231963.4753065</v>
      </c>
      <c r="N34" t="n">
        <v>19777110.5123238</v>
      </c>
      <c r="O34" t="n">
        <v>10927476.4372656</v>
      </c>
      <c r="P34" t="n">
        <v>30032841.1100967</v>
      </c>
      <c r="Q34" t="n">
        <v>1795140.94658524</v>
      </c>
      <c r="R34" t="n">
        <v>12879472.243702</v>
      </c>
      <c r="S34" t="n">
        <v>98533301.2335148</v>
      </c>
      <c r="T34" t="n">
        <v>0</v>
      </c>
      <c r="U34" t="n">
        <v>72266545.9927935</v>
      </c>
      <c r="V34" t="n">
        <v>0</v>
      </c>
      <c r="W34" t="n">
        <v>52682771.8861304</v>
      </c>
      <c r="X34" t="n">
        <v>4191793.16925288</v>
      </c>
      <c r="Y34" t="n">
        <v>145299.171124405</v>
      </c>
      <c r="Z34" t="n">
        <v>104309261.29319</v>
      </c>
      <c r="AA34" t="n">
        <v>18055269413.4207</v>
      </c>
      <c r="AB34" t="n">
        <v>178279529.892306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15398423.8870514</v>
      </c>
      <c r="BB34" t="n">
        <v>145686199.331381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17622640.6707366</v>
      </c>
      <c r="BV34" t="n">
        <v>0</v>
      </c>
    </row>
    <row r="35">
      <c r="A35" t="s">
        <v>162</v>
      </c>
      <c r="B35" t="n">
        <v>0</v>
      </c>
      <c r="C35" t="n">
        <v>2458219.8717667</v>
      </c>
      <c r="D35" t="n">
        <v>0</v>
      </c>
      <c r="E35" t="n">
        <v>0</v>
      </c>
      <c r="F35" t="n">
        <v>0</v>
      </c>
      <c r="G35" t="n">
        <v>0</v>
      </c>
      <c r="H35" t="n">
        <v>212762570.578526</v>
      </c>
      <c r="I35" t="n">
        <v>0</v>
      </c>
      <c r="J35" t="n">
        <v>0</v>
      </c>
      <c r="K35" t="n">
        <v>0</v>
      </c>
      <c r="L35" t="n">
        <v>0</v>
      </c>
      <c r="M35" t="n">
        <v>33256.7389327016</v>
      </c>
      <c r="N35" t="n">
        <v>0</v>
      </c>
      <c r="O35" t="n">
        <v>0</v>
      </c>
      <c r="P35" t="n">
        <v>361590.507495881</v>
      </c>
      <c r="Q35" t="n">
        <v>0</v>
      </c>
      <c r="R35" t="n">
        <v>0</v>
      </c>
      <c r="S35" t="n">
        <v>134270.457108572</v>
      </c>
      <c r="T35" t="n">
        <v>34753464.3038555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72451762482.1377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2456527.43451794</v>
      </c>
      <c r="AM35" t="n">
        <v>19174561.3638761</v>
      </c>
      <c r="AN35" t="n">
        <v>12043808.116456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438933686.737128</v>
      </c>
      <c r="AZ35" t="n">
        <v>0</v>
      </c>
      <c r="BA35" t="n">
        <v>246130401.564061</v>
      </c>
      <c r="BB35" t="n">
        <v>29205381.721491</v>
      </c>
      <c r="BC35" t="n">
        <v>0</v>
      </c>
      <c r="BD35" t="n">
        <v>887079.351353699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2719307633.13817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s">
        <v>163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240828.842093785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12455868403.7923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149273743.957798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7385417.8242094</v>
      </c>
      <c r="AZ36" t="n">
        <v>0</v>
      </c>
      <c r="BA36" t="n">
        <v>3251189.36826609</v>
      </c>
      <c r="BB36" t="n">
        <v>160552.561395856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4013814.03489641</v>
      </c>
      <c r="BM36" t="n">
        <v>0</v>
      </c>
      <c r="BN36" t="n">
        <v>0</v>
      </c>
      <c r="BO36" t="n">
        <v>2282134245.82105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s">
        <v>164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276453507.09071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9216589620.75666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1401751.15595801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189425.831886217</v>
      </c>
      <c r="AZ37" t="n">
        <v>0</v>
      </c>
      <c r="BA37" t="n">
        <v>378851.663772435</v>
      </c>
      <c r="BB37" t="n">
        <v>37885.1663772435</v>
      </c>
      <c r="BC37" t="n">
        <v>0</v>
      </c>
      <c r="BD37" t="n">
        <v>75770.332754487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37885.1663772435</v>
      </c>
      <c r="BM37" t="n">
        <v>0</v>
      </c>
      <c r="BN37" t="n">
        <v>425639844.248331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s">
        <v>165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68765037.7617203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77281526.102814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9554317203.84722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41474.6910504948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346603993.108985</v>
      </c>
      <c r="BO38" t="n">
        <v>81331869.1500202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s">
        <v>166</v>
      </c>
      <c r="B39" t="n">
        <v>7223562.82781669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124411538.799877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47114616.0937727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30093208729.5212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14355177.5538319</v>
      </c>
      <c r="AQ39" t="n">
        <v>0</v>
      </c>
      <c r="AR39" t="n">
        <v>0</v>
      </c>
      <c r="AS39" t="n">
        <v>8943503.47599848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35745531.4088474</v>
      </c>
      <c r="AZ39" t="n">
        <v>0</v>
      </c>
      <c r="BA39" t="n">
        <v>51553316.2151504</v>
      </c>
      <c r="BB39" t="n">
        <v>218403772.7833</v>
      </c>
      <c r="BC39" t="n">
        <v>0</v>
      </c>
      <c r="BD39" t="n">
        <v>3076109.47582113</v>
      </c>
      <c r="BE39" t="n">
        <v>0</v>
      </c>
      <c r="BF39" t="n">
        <v>3161556.96126061</v>
      </c>
      <c r="BG39" t="n">
        <v>142412.47573246</v>
      </c>
      <c r="BH39" t="n">
        <v>0</v>
      </c>
      <c r="BI39" t="n">
        <v>0</v>
      </c>
      <c r="BJ39" t="n">
        <v>0</v>
      </c>
      <c r="BK39" t="n">
        <v>0</v>
      </c>
      <c r="BL39" t="n">
        <v>10196733.2624441</v>
      </c>
      <c r="BM39" t="n">
        <v>0</v>
      </c>
      <c r="BN39" t="n">
        <v>566061108.541381</v>
      </c>
      <c r="BO39" t="n">
        <v>394938277.701258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s">
        <v>167</v>
      </c>
      <c r="B40" t="n">
        <v>0</v>
      </c>
      <c r="C40" t="n">
        <v>8735508.95276489</v>
      </c>
      <c r="D40" t="n">
        <v>0</v>
      </c>
      <c r="E40" t="n">
        <v>0</v>
      </c>
      <c r="F40" t="n">
        <v>0</v>
      </c>
      <c r="G40" t="n">
        <v>0</v>
      </c>
      <c r="H40" t="n">
        <v>586865.521344257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4755211265.21942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25341920.2398657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9798875.82608139</v>
      </c>
      <c r="AZ40" t="n">
        <v>0</v>
      </c>
      <c r="BA40" t="n">
        <v>4339248.09721208</v>
      </c>
      <c r="BB40" t="n">
        <v>32793333.98057</v>
      </c>
      <c r="BC40" t="n">
        <v>0</v>
      </c>
      <c r="BD40" t="n">
        <v>0</v>
      </c>
      <c r="BE40" t="n">
        <v>0</v>
      </c>
      <c r="BF40" t="n">
        <v>0</v>
      </c>
      <c r="BG40" t="n">
        <v>1333785.2757824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s">
        <v>168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5447313.03858312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2734190178.84207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17949880.916295</v>
      </c>
      <c r="AZ41" t="n">
        <v>0</v>
      </c>
      <c r="BA41" t="n">
        <v>3412774.43381111</v>
      </c>
      <c r="BB41" t="n">
        <v>23298748.5385182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s">
        <v>169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9807.33294671048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566481358.334944</v>
      </c>
      <c r="AJ42" t="n">
        <v>0</v>
      </c>
      <c r="AK42" t="n">
        <v>0</v>
      </c>
      <c r="AL42" t="n">
        <v>0</v>
      </c>
      <c r="AM42" t="n">
        <v>26489606.289065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156917.327147368</v>
      </c>
      <c r="BB42" t="n">
        <v>755164.636896707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3206997.87357433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s">
        <v>170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2143741.13574411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17547546463.5653</v>
      </c>
      <c r="AK43" t="n">
        <v>0</v>
      </c>
      <c r="AL43" t="n">
        <v>0</v>
      </c>
      <c r="AM43" t="n">
        <v>963984465.062327</v>
      </c>
      <c r="AN43" t="n">
        <v>303013149.230614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15891646.2454075</v>
      </c>
      <c r="AZ43" t="n">
        <v>0</v>
      </c>
      <c r="BA43" t="n">
        <v>5219543.63485524</v>
      </c>
      <c r="BB43" t="n">
        <v>26750161.1286331</v>
      </c>
      <c r="BC43" t="n">
        <v>0</v>
      </c>
      <c r="BD43" t="n">
        <v>0</v>
      </c>
      <c r="BE43" t="n">
        <v>337008387.814014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s">
        <v>171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1269172432.64134</v>
      </c>
      <c r="AL44" t="n">
        <v>0</v>
      </c>
      <c r="AM44" t="n">
        <v>139200.530035336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23200.0883392226</v>
      </c>
      <c r="BB44" t="n">
        <v>1461605.56537102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s">
        <v>172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6713603.53645686</v>
      </c>
      <c r="H45" t="n">
        <v>4375532.65311368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2030748166.23403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1135634.4290524</v>
      </c>
      <c r="BB45" t="n">
        <v>14295633.4010126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s">
        <v>173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3939769.32638026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474231.492990216</v>
      </c>
      <c r="AE46" t="n">
        <v>0</v>
      </c>
      <c r="AF46" t="n">
        <v>0</v>
      </c>
      <c r="AG46" t="n">
        <v>1167339.05966822</v>
      </c>
      <c r="AH46" t="n">
        <v>0</v>
      </c>
      <c r="AI46" t="n">
        <v>13533837.2230285</v>
      </c>
      <c r="AJ46" t="n">
        <v>21741689.9863207</v>
      </c>
      <c r="AK46" t="n">
        <v>19224615.1389111</v>
      </c>
      <c r="AL46" t="n">
        <v>0</v>
      </c>
      <c r="AM46" t="n">
        <v>9255721966.07251</v>
      </c>
      <c r="AN46" t="n">
        <v>47824422.1007826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109438.036843896</v>
      </c>
      <c r="AZ46" t="n">
        <v>0</v>
      </c>
      <c r="BA46" t="n">
        <v>12402977.5089749</v>
      </c>
      <c r="BB46" t="n">
        <v>235364737.905606</v>
      </c>
      <c r="BC46" t="n">
        <v>0</v>
      </c>
      <c r="BD46" t="n">
        <v>182396.72807316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1495653.17019991</v>
      </c>
      <c r="BO46" t="n">
        <v>36041593.4672564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s">
        <v>174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3332466.94834401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17109979.5556767</v>
      </c>
      <c r="AK47" t="n">
        <v>0</v>
      </c>
      <c r="AL47" t="n">
        <v>0</v>
      </c>
      <c r="AM47" t="n">
        <v>84206963.3365136</v>
      </c>
      <c r="AN47" t="n">
        <v>6541781834.53728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9798447.59438463</v>
      </c>
      <c r="BB47" t="n">
        <v>55060312.1166689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s">
        <v>175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67778.5110358211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4868265.22744245</v>
      </c>
      <c r="Y48" t="n">
        <v>0</v>
      </c>
      <c r="Z48" t="n">
        <v>0</v>
      </c>
      <c r="AA48" t="n">
        <v>0</v>
      </c>
      <c r="AB48" t="n">
        <v>4706186.17931332</v>
      </c>
      <c r="AC48" t="n">
        <v>0</v>
      </c>
      <c r="AD48" t="n">
        <v>0</v>
      </c>
      <c r="AE48" t="n">
        <v>0</v>
      </c>
      <c r="AF48" t="n">
        <v>7296504.05759535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7293825658.88828</v>
      </c>
      <c r="AP48" t="n">
        <v>0</v>
      </c>
      <c r="AQ48" t="n">
        <v>0</v>
      </c>
      <c r="AR48" t="n">
        <v>114896363.772853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41229962.9522684</v>
      </c>
      <c r="BB48" t="n">
        <v>135165085.464348</v>
      </c>
      <c r="BC48" t="n">
        <v>0</v>
      </c>
      <c r="BD48" t="n">
        <v>515706.062229073</v>
      </c>
      <c r="BE48" t="n">
        <v>8402.4314369589</v>
      </c>
      <c r="BF48" t="n">
        <v>1034359.01624231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2946.89178416613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s">
        <v>176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429388.063304372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98485.7110867607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27176.4597028083</v>
      </c>
      <c r="AC49" t="n">
        <v>0</v>
      </c>
      <c r="AD49" t="n">
        <v>0</v>
      </c>
      <c r="AE49" t="n">
        <v>0</v>
      </c>
      <c r="AF49" t="n">
        <v>1983881.55830501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889365949.650224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788117.331381441</v>
      </c>
      <c r="AY49" t="n">
        <v>347858.684195947</v>
      </c>
      <c r="AZ49" t="n">
        <v>0</v>
      </c>
      <c r="BA49" t="n">
        <v>2532846.04430174</v>
      </c>
      <c r="BB49" t="n">
        <v>11028207.3473996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304376.348671453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s">
        <v>177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21196879.5918408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2573775.49250452</v>
      </c>
      <c r="AC50" t="n">
        <v>0</v>
      </c>
      <c r="AD50" t="n">
        <v>0</v>
      </c>
      <c r="AE50" t="n">
        <v>0</v>
      </c>
      <c r="AF50" t="n">
        <v>179171542.499636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22796297.2193258</v>
      </c>
      <c r="AQ50" t="n">
        <v>13907690019.5188</v>
      </c>
      <c r="AR50" t="n">
        <v>128688.774625226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203622409.678429</v>
      </c>
      <c r="AZ50" t="n">
        <v>0</v>
      </c>
      <c r="BA50" t="n">
        <v>52578556.4897352</v>
      </c>
      <c r="BB50" t="n">
        <v>2031554532.67646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13861619.4382029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s">
        <v>178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8663449.63788193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17407039.3011421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38000289.898308</v>
      </c>
      <c r="AC51" t="n">
        <v>0</v>
      </c>
      <c r="AD51" t="n">
        <v>0</v>
      </c>
      <c r="AE51" t="n">
        <v>0</v>
      </c>
      <c r="AF51" t="n">
        <v>1805344.01602622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455049255.388468</v>
      </c>
      <c r="AP51" t="n">
        <v>0</v>
      </c>
      <c r="AQ51" t="n">
        <v>26738906.1885835</v>
      </c>
      <c r="AR51" t="n">
        <v>2877740377.93624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253188.490052458</v>
      </c>
      <c r="AZ51" t="n">
        <v>0</v>
      </c>
      <c r="BA51" t="n">
        <v>183088302.893586</v>
      </c>
      <c r="BB51" t="n">
        <v>1994090531.26272</v>
      </c>
      <c r="BC51" t="n">
        <v>0</v>
      </c>
      <c r="BD51" t="n">
        <v>671499.908399997</v>
      </c>
      <c r="BE51" t="n">
        <v>0</v>
      </c>
      <c r="BF51" t="n">
        <v>1232917.86460327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1034770.35064918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s">
        <v>179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232573.10945035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58971877208.2817</v>
      </c>
      <c r="AT52" t="n">
        <v>1686329473.34712</v>
      </c>
      <c r="AU52" t="n">
        <v>0</v>
      </c>
      <c r="AV52" t="n">
        <v>0</v>
      </c>
      <c r="AW52" t="n">
        <v>0</v>
      </c>
      <c r="AX52" t="n">
        <v>0</v>
      </c>
      <c r="AY52" t="n">
        <v>4163523805.38016</v>
      </c>
      <c r="AZ52" t="n">
        <v>0</v>
      </c>
      <c r="BA52" t="n">
        <v>146579202.231083</v>
      </c>
      <c r="BB52" t="n">
        <v>146230342.566907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s">
        <v>180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14079.48966061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356182929.434111</v>
      </c>
      <c r="AT53" t="n">
        <v>8120852523.38458</v>
      </c>
      <c r="AU53" t="n">
        <v>53333106.8343906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14741225.6746586</v>
      </c>
      <c r="BB53" t="n">
        <v>15107292.4058345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s">
        <v>181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262193.200157745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77609187.2466927</v>
      </c>
      <c r="AU54" t="n">
        <v>59044545270.8835</v>
      </c>
      <c r="AV54" t="n">
        <v>0</v>
      </c>
      <c r="AW54" t="n">
        <v>0</v>
      </c>
      <c r="AX54" t="n">
        <v>0</v>
      </c>
      <c r="AY54" t="n">
        <v>0</v>
      </c>
      <c r="AZ54" t="n">
        <v>4457284.40268167</v>
      </c>
      <c r="BA54" t="n">
        <v>125485665.595497</v>
      </c>
      <c r="BB54" t="n">
        <v>141636766.725214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s">
        <v>182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1293222678.06268</v>
      </c>
      <c r="AW55" t="n">
        <v>0</v>
      </c>
      <c r="AX55" t="n">
        <v>0</v>
      </c>
      <c r="AY55" t="n">
        <v>0</v>
      </c>
      <c r="AZ55" t="n">
        <v>0</v>
      </c>
      <c r="BA55" t="n">
        <v>43874.6438746439</v>
      </c>
      <c r="BB55" t="n">
        <v>43874.6438746439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s">
        <v>183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692482460.210453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79643593568.4419</v>
      </c>
      <c r="AX56" t="n">
        <v>0</v>
      </c>
      <c r="AY56" t="n">
        <v>0</v>
      </c>
      <c r="AZ56" t="n">
        <v>0</v>
      </c>
      <c r="BA56" t="n">
        <v>3620823.32136184</v>
      </c>
      <c r="BB56" t="n">
        <v>4489820.91848869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s">
        <v>184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5379955.23840466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25991908.7455425</v>
      </c>
      <c r="AT57" t="n">
        <v>0</v>
      </c>
      <c r="AU57" t="n">
        <v>6573632.80692569</v>
      </c>
      <c r="AV57" t="n">
        <v>0</v>
      </c>
      <c r="AW57" t="n">
        <v>0</v>
      </c>
      <c r="AX57" t="n">
        <v>24081688388.7065</v>
      </c>
      <c r="AY57" t="n">
        <v>0</v>
      </c>
      <c r="AZ57" t="n">
        <v>0</v>
      </c>
      <c r="BA57" t="n">
        <v>5110957.47648443</v>
      </c>
      <c r="BB57" t="n">
        <v>9751168.86960845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1143240.48816099</v>
      </c>
      <c r="BN57" t="n">
        <v>0</v>
      </c>
      <c r="BO57" t="n">
        <v>3765968.66688326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</row>
    <row r="58">
      <c r="A58" t="s">
        <v>185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1720903.52315387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11828488.7730702</v>
      </c>
      <c r="AD58" t="n">
        <v>0</v>
      </c>
      <c r="AE58" t="n">
        <v>67115237.4030007</v>
      </c>
      <c r="AF58" t="n">
        <v>6077621.30329023</v>
      </c>
      <c r="AG58" t="n">
        <v>0</v>
      </c>
      <c r="AH58" t="n">
        <v>0</v>
      </c>
      <c r="AI58" t="n">
        <v>0</v>
      </c>
      <c r="AJ58" t="n">
        <v>27926560.9706741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1677336.3453525</v>
      </c>
      <c r="AT58" t="n">
        <v>1829821.46765727</v>
      </c>
      <c r="AU58" t="n">
        <v>14878191.2191657</v>
      </c>
      <c r="AV58" t="n">
        <v>0</v>
      </c>
      <c r="AW58" t="n">
        <v>0</v>
      </c>
      <c r="AX58" t="n">
        <v>25247179.5358902</v>
      </c>
      <c r="AY58" t="n">
        <v>8586960043.11537</v>
      </c>
      <c r="AZ58" t="n">
        <v>0</v>
      </c>
      <c r="BA58" t="n">
        <v>3681426.52421523</v>
      </c>
      <c r="BB58" t="n">
        <v>4618120.84694455</v>
      </c>
      <c r="BC58" t="n">
        <v>0</v>
      </c>
      <c r="BD58" t="n">
        <v>0</v>
      </c>
      <c r="BE58" t="n">
        <v>0</v>
      </c>
      <c r="BF58" t="n">
        <v>65350.7667020455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26815597.9367393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s">
        <v>186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44572.1218304204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8253508943.5826</v>
      </c>
      <c r="BA59" t="n">
        <v>8045267.99039088</v>
      </c>
      <c r="BB59" t="n">
        <v>6039522.50802196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s">
        <v>187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202680.719448752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3152811.19142504</v>
      </c>
      <c r="AC60" t="n">
        <v>0</v>
      </c>
      <c r="AD60" t="n">
        <v>0</v>
      </c>
      <c r="AE60" t="n">
        <v>0</v>
      </c>
      <c r="AF60" t="n">
        <v>33622479.3485541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563612395.748262</v>
      </c>
      <c r="AP60" t="n">
        <v>0</v>
      </c>
      <c r="AQ60" t="n">
        <v>3715813.18989379</v>
      </c>
      <c r="AR60" t="n">
        <v>457653064.515283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2950130.47197628</v>
      </c>
      <c r="AZ60" t="n">
        <v>0</v>
      </c>
      <c r="BA60" t="n">
        <v>10642651977.8543</v>
      </c>
      <c r="BB60" t="n">
        <v>306137966.687371</v>
      </c>
      <c r="BC60" t="n">
        <v>0</v>
      </c>
      <c r="BD60" t="n">
        <v>126900650.454858</v>
      </c>
      <c r="BE60" t="n">
        <v>0</v>
      </c>
      <c r="BF60" t="n">
        <v>8580150.45666385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94133934.1439761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s">
        <v>188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14513005.0236962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180285.776691878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14580612.1899557</v>
      </c>
      <c r="AF61" t="n">
        <v>46310908.8877262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1379073513.08244</v>
      </c>
      <c r="AS61" t="n">
        <v>0</v>
      </c>
      <c r="AT61" t="n">
        <v>11110110.988637</v>
      </c>
      <c r="AU61" t="n">
        <v>0</v>
      </c>
      <c r="AV61" t="n">
        <v>0</v>
      </c>
      <c r="AW61" t="n">
        <v>0</v>
      </c>
      <c r="AX61" t="n">
        <v>0</v>
      </c>
      <c r="AY61" t="n">
        <v>878893.161372907</v>
      </c>
      <c r="AZ61" t="n">
        <v>0</v>
      </c>
      <c r="BA61" t="n">
        <v>290981243.580692</v>
      </c>
      <c r="BB61" t="n">
        <v>33614373207.0891</v>
      </c>
      <c r="BC61" t="n">
        <v>0</v>
      </c>
      <c r="BD61" t="n">
        <v>32766939.9137489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44530586.8428939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s">
        <v>189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4678069.0464567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678809577.101548</v>
      </c>
      <c r="BB62" t="n">
        <v>344110055.673082</v>
      </c>
      <c r="BC62" t="n">
        <v>33335376063.5334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s">
        <v>190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42344577.3195072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49366845.3020305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38637543.1484756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4279665.46574379</v>
      </c>
      <c r="AV63" t="n">
        <v>0</v>
      </c>
      <c r="AW63" t="n">
        <v>0</v>
      </c>
      <c r="AX63" t="n">
        <v>8077115.10436152</v>
      </c>
      <c r="AY63" t="n">
        <v>7203098.91769554</v>
      </c>
      <c r="AZ63" t="n">
        <v>0</v>
      </c>
      <c r="BA63" t="n">
        <v>373355604.152353</v>
      </c>
      <c r="BB63" t="n">
        <v>1386521195.4334</v>
      </c>
      <c r="BC63" t="n">
        <v>0</v>
      </c>
      <c r="BD63" t="n">
        <v>30780800677.1107</v>
      </c>
      <c r="BE63" t="n">
        <v>21650967.375242</v>
      </c>
      <c r="BF63" t="n">
        <v>783600.719079849</v>
      </c>
      <c r="BG63" t="n">
        <v>0</v>
      </c>
      <c r="BH63" t="n">
        <v>0</v>
      </c>
      <c r="BI63" t="n">
        <v>0</v>
      </c>
      <c r="BJ63" t="n">
        <v>1145262.5894244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s">
        <v>191</v>
      </c>
      <c r="B64" t="n">
        <v>0</v>
      </c>
      <c r="C64" t="n">
        <v>0</v>
      </c>
      <c r="D64" t="n">
        <v>549129.040536436</v>
      </c>
      <c r="E64" t="n">
        <v>0</v>
      </c>
      <c r="F64" t="n">
        <v>0</v>
      </c>
      <c r="G64" t="n">
        <v>0</v>
      </c>
      <c r="H64" t="n">
        <v>32818.3354264947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1854235.95159695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8040492.1794912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2576239.33097983</v>
      </c>
      <c r="AZ64" t="n">
        <v>0</v>
      </c>
      <c r="BA64" t="n">
        <v>361001.689691442</v>
      </c>
      <c r="BB64" t="n">
        <v>2559830.16326659</v>
      </c>
      <c r="BC64" t="n">
        <v>0</v>
      </c>
      <c r="BD64" t="n">
        <v>0</v>
      </c>
      <c r="BE64" t="n">
        <v>5187397644.44507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15621527.6630115</v>
      </c>
      <c r="BV64" t="n">
        <v>0</v>
      </c>
    </row>
    <row r="65">
      <c r="A65" t="s">
        <v>192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16213249.6420366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18068843.3063612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2713805.73407479</v>
      </c>
      <c r="AV65" t="n">
        <v>0</v>
      </c>
      <c r="AW65" t="n">
        <v>0</v>
      </c>
      <c r="AX65" t="n">
        <v>1530864.77306783</v>
      </c>
      <c r="AY65" t="n">
        <v>0</v>
      </c>
      <c r="AZ65" t="n">
        <v>0</v>
      </c>
      <c r="BA65" t="n">
        <v>115417925.920993</v>
      </c>
      <c r="BB65" t="n">
        <v>768331751.634422</v>
      </c>
      <c r="BC65" t="n">
        <v>0</v>
      </c>
      <c r="BD65" t="n">
        <v>0</v>
      </c>
      <c r="BE65" t="n">
        <v>0</v>
      </c>
      <c r="BF65" t="n">
        <v>6961584360.60515</v>
      </c>
      <c r="BG65" t="n">
        <v>0</v>
      </c>
      <c r="BH65" t="n">
        <v>0</v>
      </c>
      <c r="BI65" t="n">
        <v>0</v>
      </c>
      <c r="BJ65" t="n">
        <v>0</v>
      </c>
      <c r="BK65" t="n">
        <v>40011238.3870001</v>
      </c>
      <c r="BL65" t="n">
        <v>0</v>
      </c>
      <c r="BM65" t="n">
        <v>660452174.974748</v>
      </c>
      <c r="BN65" t="n">
        <v>301951479.027227</v>
      </c>
      <c r="BO65" t="n">
        <v>1090161.27779073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s">
        <v>193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17024685.3336975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332236224.56599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16311075.768812</v>
      </c>
      <c r="AZ66" t="n">
        <v>0</v>
      </c>
      <c r="BA66" t="n">
        <v>28918178.0817896</v>
      </c>
      <c r="BB66" t="n">
        <v>13966358.6270453</v>
      </c>
      <c r="BC66" t="n">
        <v>0</v>
      </c>
      <c r="BD66" t="n">
        <v>0</v>
      </c>
      <c r="BE66" t="n">
        <v>0</v>
      </c>
      <c r="BF66" t="n">
        <v>0</v>
      </c>
      <c r="BG66" t="n">
        <v>39086128920.5807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1834996.02399135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</row>
    <row r="67">
      <c r="A67" t="s">
        <v>194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56436433.5621709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80066142.1942504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7004679.10669521</v>
      </c>
      <c r="AZ67" t="n">
        <v>0</v>
      </c>
      <c r="BA67" t="n">
        <v>123778886.492994</v>
      </c>
      <c r="BB67" t="n">
        <v>353869295.124311</v>
      </c>
      <c r="BC67" t="n">
        <v>0</v>
      </c>
      <c r="BD67" t="n">
        <v>0</v>
      </c>
      <c r="BE67" t="n">
        <v>0</v>
      </c>
      <c r="BF67" t="n">
        <v>0</v>
      </c>
      <c r="BG67" t="n">
        <v>171171303.993356</v>
      </c>
      <c r="BH67" t="n">
        <v>40407599762.273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82947813.9786503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s">
        <v>195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1905839.55412085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1152368.10249168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7357427.1159084</v>
      </c>
      <c r="AY68" t="n">
        <v>0</v>
      </c>
      <c r="AZ68" t="n">
        <v>0</v>
      </c>
      <c r="BA68" t="n">
        <v>1418299.20306668</v>
      </c>
      <c r="BB68" t="n">
        <v>930758.852012509</v>
      </c>
      <c r="BC68" t="n">
        <v>0</v>
      </c>
      <c r="BD68" t="n">
        <v>0</v>
      </c>
      <c r="BE68" t="n">
        <v>0</v>
      </c>
      <c r="BF68" t="n">
        <v>0</v>
      </c>
      <c r="BG68" t="n">
        <v>6559633.8141834</v>
      </c>
      <c r="BH68" t="n">
        <v>0</v>
      </c>
      <c r="BI68" t="n">
        <v>11502761111.6715</v>
      </c>
      <c r="BJ68" t="n">
        <v>28764880.7121961</v>
      </c>
      <c r="BK68" t="n">
        <v>0</v>
      </c>
      <c r="BL68" t="n">
        <v>0</v>
      </c>
      <c r="BM68" t="n">
        <v>0</v>
      </c>
      <c r="BN68" t="n">
        <v>28365984.0613336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s">
        <v>196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4739796.05728911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6279475.03131297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3743533.19174427</v>
      </c>
      <c r="BB69" t="n">
        <v>664175.243696564</v>
      </c>
      <c r="BC69" t="n">
        <v>0</v>
      </c>
      <c r="BD69" t="n">
        <v>0</v>
      </c>
      <c r="BE69" t="n">
        <v>0</v>
      </c>
      <c r="BF69" t="n">
        <v>0</v>
      </c>
      <c r="BG69" t="n">
        <v>6913460.49120514</v>
      </c>
      <c r="BH69" t="n">
        <v>0</v>
      </c>
      <c r="BI69" t="n">
        <v>57360589.2283396</v>
      </c>
      <c r="BJ69" t="n">
        <v>7402867076.4581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</row>
    <row r="70">
      <c r="A70" t="s">
        <v>197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13277021.4007644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30072993.1890484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23315744.8989033</v>
      </c>
      <c r="AY70" t="n">
        <v>34952028.6956707</v>
      </c>
      <c r="AZ70" t="n">
        <v>0</v>
      </c>
      <c r="BA70" t="n">
        <v>3065588.6811521</v>
      </c>
      <c r="BB70" t="n">
        <v>187259973.382488</v>
      </c>
      <c r="BC70" t="n">
        <v>0</v>
      </c>
      <c r="BD70" t="n">
        <v>0</v>
      </c>
      <c r="BE70" t="n">
        <v>0</v>
      </c>
      <c r="BF70" t="n">
        <v>6757248.29014511</v>
      </c>
      <c r="BG70" t="n">
        <v>0</v>
      </c>
      <c r="BH70" t="n">
        <v>0</v>
      </c>
      <c r="BI70" t="n">
        <v>0</v>
      </c>
      <c r="BJ70" t="n">
        <v>0</v>
      </c>
      <c r="BK70" t="n">
        <v>4393463530.45001</v>
      </c>
      <c r="BL70" t="n">
        <v>46588312.4924382</v>
      </c>
      <c r="BM70" t="n">
        <v>172709.221473358</v>
      </c>
      <c r="BN70" t="n">
        <v>97213703.0368161</v>
      </c>
      <c r="BO70" t="n">
        <v>7987801.49314279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  <row r="71">
      <c r="A71" t="s">
        <v>198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23320515.0765472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3682186.59103378</v>
      </c>
      <c r="AD71" t="n">
        <v>0</v>
      </c>
      <c r="AE71" t="n">
        <v>0</v>
      </c>
      <c r="AF71" t="n">
        <v>112183951.473496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2618443.79806846</v>
      </c>
      <c r="AY71" t="n">
        <v>10064643.3488257</v>
      </c>
      <c r="AZ71" t="n">
        <v>0</v>
      </c>
      <c r="BA71" t="n">
        <v>2618443.79806846</v>
      </c>
      <c r="BB71" t="n">
        <v>3395794.30062004</v>
      </c>
      <c r="BC71" t="n">
        <v>0</v>
      </c>
      <c r="BD71" t="n">
        <v>0</v>
      </c>
      <c r="BE71" t="n">
        <v>0</v>
      </c>
      <c r="BF71" t="n">
        <v>123516903.537011</v>
      </c>
      <c r="BG71" t="n">
        <v>0</v>
      </c>
      <c r="BH71" t="n">
        <v>0</v>
      </c>
      <c r="BI71" t="n">
        <v>0</v>
      </c>
      <c r="BJ71" t="n">
        <v>25652566.584202</v>
      </c>
      <c r="BK71" t="n">
        <v>572784.580827476</v>
      </c>
      <c r="BL71" t="n">
        <v>6149619825.68551</v>
      </c>
      <c r="BM71" t="n">
        <v>8346289.60634323</v>
      </c>
      <c r="BN71" t="n">
        <v>436461850.590537</v>
      </c>
      <c r="BO71" t="n">
        <v>148228466.881282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</row>
    <row r="72">
      <c r="A72" t="s">
        <v>199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24641593.7514433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135691.595547595</v>
      </c>
      <c r="AD72" t="n">
        <v>3840072.15399695</v>
      </c>
      <c r="AE72" t="n">
        <v>5658339.53433473</v>
      </c>
      <c r="AF72" t="n">
        <v>9851209.83675543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2143927.20965201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15251735.3395497</v>
      </c>
      <c r="AY72" t="n">
        <v>14356170.8089356</v>
      </c>
      <c r="AZ72" t="n">
        <v>0</v>
      </c>
      <c r="BA72" t="n">
        <v>732734.615957016</v>
      </c>
      <c r="BB72" t="n">
        <v>54276.6382190382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14356170.8089356</v>
      </c>
      <c r="BL72" t="n">
        <v>450468958.898907</v>
      </c>
      <c r="BM72" t="n">
        <v>2939174943.6778</v>
      </c>
      <c r="BN72" t="n">
        <v>650179849.225858</v>
      </c>
      <c r="BO72" t="n">
        <v>27789638.7681476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</row>
    <row r="73">
      <c r="A73" t="s">
        <v>200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26584781.5709267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1073494.74276901</v>
      </c>
      <c r="AC73" t="n">
        <v>0</v>
      </c>
      <c r="AD73" t="n">
        <v>18786157.9984577</v>
      </c>
      <c r="AE73" t="n">
        <v>0</v>
      </c>
      <c r="AF73" t="n">
        <v>50517399.6597182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94720.1243619717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42182028.7158647</v>
      </c>
      <c r="BM73" t="n">
        <v>568320.74617183</v>
      </c>
      <c r="BN73" t="n">
        <v>28560706511.867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252586.998298591</v>
      </c>
      <c r="BV73" t="n">
        <v>0</v>
      </c>
    </row>
    <row r="74">
      <c r="A74" t="s">
        <v>201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15852173.4217267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16204443.9422095</v>
      </c>
      <c r="AC74" t="n">
        <v>61070898.4146117</v>
      </c>
      <c r="AD74" t="n">
        <v>0</v>
      </c>
      <c r="AE74" t="n">
        <v>4675590.54459009</v>
      </c>
      <c r="AF74" t="n">
        <v>148241839.937723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24210592.1350008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45859216.8483083</v>
      </c>
      <c r="AY74" t="n">
        <v>12713763.3301525</v>
      </c>
      <c r="AZ74" t="n">
        <v>0</v>
      </c>
      <c r="BA74" t="n">
        <v>36059691.4603318</v>
      </c>
      <c r="BB74" t="n">
        <v>36123740.6458741</v>
      </c>
      <c r="BC74" t="n">
        <v>0</v>
      </c>
      <c r="BD74" t="n">
        <v>0</v>
      </c>
      <c r="BE74" t="n">
        <v>0</v>
      </c>
      <c r="BF74" t="n">
        <v>320245.92771165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106705943.113522</v>
      </c>
      <c r="BO74" t="n">
        <v>24367320492.0228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</row>
    <row r="75">
      <c r="A75" t="s">
        <v>202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41189.1392418761</v>
      </c>
      <c r="I75" t="n">
        <v>0</v>
      </c>
      <c r="J75" t="n">
        <v>0</v>
      </c>
      <c r="K75" t="n">
        <v>0</v>
      </c>
      <c r="L75" t="n">
        <v>0</v>
      </c>
      <c r="M75" t="n">
        <v>22050.8835404315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26279.8048292878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604107.375547515</v>
      </c>
      <c r="AQ75" t="n">
        <v>0</v>
      </c>
      <c r="AR75" t="n">
        <v>205945.69620938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25399969.1991569</v>
      </c>
      <c r="BB75" t="n">
        <v>320602530.145683</v>
      </c>
      <c r="BC75" t="n">
        <v>0</v>
      </c>
      <c r="BD75" t="n">
        <v>0</v>
      </c>
      <c r="BE75" t="n">
        <v>0</v>
      </c>
      <c r="BF75" t="n">
        <v>3350049.99167259</v>
      </c>
      <c r="BG75" t="n">
        <v>0</v>
      </c>
      <c r="BH75" t="n">
        <v>21335974.1272918</v>
      </c>
      <c r="BI75" t="n">
        <v>0</v>
      </c>
      <c r="BJ75" t="n">
        <v>0</v>
      </c>
      <c r="BK75" t="n">
        <v>302053.687773758</v>
      </c>
      <c r="BL75" t="n">
        <v>0</v>
      </c>
      <c r="BM75" t="n">
        <v>0</v>
      </c>
      <c r="BN75" t="n">
        <v>0</v>
      </c>
      <c r="BO75" t="n">
        <v>0</v>
      </c>
      <c r="BP75" t="n">
        <v>9271071135.97075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</row>
    <row r="76">
      <c r="A76" t="s">
        <v>203</v>
      </c>
      <c r="B76" t="n">
        <v>0</v>
      </c>
      <c r="C76" t="n">
        <v>1227149.00823357</v>
      </c>
      <c r="D76" t="n">
        <v>0</v>
      </c>
      <c r="E76" t="n">
        <v>0</v>
      </c>
      <c r="F76" t="n">
        <v>0</v>
      </c>
      <c r="G76" t="n">
        <v>1000704.96014378</v>
      </c>
      <c r="H76" t="n">
        <v>9365572.06288409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953897.817794305</v>
      </c>
      <c r="T76" t="n">
        <v>0</v>
      </c>
      <c r="U76" t="n">
        <v>0</v>
      </c>
      <c r="V76" t="n">
        <v>0</v>
      </c>
      <c r="W76" t="n">
        <v>0</v>
      </c>
      <c r="X76" t="n">
        <v>153954.609252889</v>
      </c>
      <c r="Y76" t="n">
        <v>0</v>
      </c>
      <c r="Z76" t="n">
        <v>109236.259425722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5480913.3217346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1539546.09252889</v>
      </c>
      <c r="AW76" t="n">
        <v>0</v>
      </c>
      <c r="AX76" t="n">
        <v>0</v>
      </c>
      <c r="AY76" t="n">
        <v>0</v>
      </c>
      <c r="AZ76" t="n">
        <v>0</v>
      </c>
      <c r="BA76" t="n">
        <v>52216271.6382716</v>
      </c>
      <c r="BB76" t="n">
        <v>526088558.918664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25684760.6436903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10571190607.9435</v>
      </c>
      <c r="BR76" t="n">
        <v>8595799.01661964</v>
      </c>
      <c r="BS76" t="n">
        <v>0</v>
      </c>
      <c r="BT76" t="n">
        <v>0</v>
      </c>
      <c r="BU76" t="n">
        <v>0</v>
      </c>
      <c r="BV76" t="n">
        <v>111745387.216055</v>
      </c>
    </row>
    <row r="77">
      <c r="A77" t="s">
        <v>204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435862528.226229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69956147.3412392</v>
      </c>
      <c r="AF77" t="n">
        <v>1504433.27615568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423121.858918785</v>
      </c>
      <c r="AQ77" t="n">
        <v>0</v>
      </c>
      <c r="AR77" t="n">
        <v>0</v>
      </c>
      <c r="AS77" t="n">
        <v>0</v>
      </c>
      <c r="AT77" t="n">
        <v>0</v>
      </c>
      <c r="AU77" t="n">
        <v>63867893.9267967</v>
      </c>
      <c r="AV77" t="n">
        <v>0</v>
      </c>
      <c r="AW77" t="n">
        <v>0</v>
      </c>
      <c r="AX77" t="n">
        <v>19769193.5194833</v>
      </c>
      <c r="AY77" t="n">
        <v>0</v>
      </c>
      <c r="AZ77" t="n">
        <v>0</v>
      </c>
      <c r="BA77" t="n">
        <v>13751460.4148605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35871330.928337</v>
      </c>
      <c r="BO77" t="n">
        <v>0</v>
      </c>
      <c r="BP77" t="n">
        <v>0</v>
      </c>
      <c r="BQ77" t="n">
        <v>0</v>
      </c>
      <c r="BR77" t="n">
        <v>1683883957.87713</v>
      </c>
      <c r="BS77" t="n">
        <v>0</v>
      </c>
      <c r="BT77" t="n">
        <v>0</v>
      </c>
      <c r="BU77" t="n">
        <v>0</v>
      </c>
      <c r="BV77" t="n">
        <v>0</v>
      </c>
    </row>
    <row r="78">
      <c r="A78" t="s">
        <v>205</v>
      </c>
      <c r="B78" t="n">
        <v>26419596.7534786</v>
      </c>
      <c r="C78" t="n">
        <v>87115013.4406052</v>
      </c>
      <c r="D78" t="n">
        <v>0</v>
      </c>
      <c r="E78" t="n">
        <v>30299978.8306013</v>
      </c>
      <c r="F78" t="n">
        <v>0</v>
      </c>
      <c r="G78" t="n">
        <v>43435566.6783554</v>
      </c>
      <c r="H78" t="n">
        <v>746353845.348853</v>
      </c>
      <c r="I78" t="n">
        <v>4927313.68283759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38874718.2003915</v>
      </c>
      <c r="T78" t="n">
        <v>94851488.8047878</v>
      </c>
      <c r="U78" t="n">
        <v>0</v>
      </c>
      <c r="V78" t="n">
        <v>59207803.6041396</v>
      </c>
      <c r="W78" t="n">
        <v>18719898.4902925</v>
      </c>
      <c r="X78" t="n">
        <v>62319137.3655478</v>
      </c>
      <c r="Y78" t="n">
        <v>0</v>
      </c>
      <c r="Z78" t="n">
        <v>3154047.00732675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28408234.7990645</v>
      </c>
      <c r="AP78" t="n">
        <v>33540.9781300042</v>
      </c>
      <c r="AQ78" t="n">
        <v>0</v>
      </c>
      <c r="AR78" t="n">
        <v>85428871.2971207</v>
      </c>
      <c r="AS78" t="n">
        <v>0</v>
      </c>
      <c r="AT78" t="n">
        <v>0</v>
      </c>
      <c r="AU78" t="n">
        <v>0</v>
      </c>
      <c r="AV78" t="n">
        <v>1116579161.94784</v>
      </c>
      <c r="AW78" t="n">
        <v>0</v>
      </c>
      <c r="AX78" t="n">
        <v>0</v>
      </c>
      <c r="AY78" t="n">
        <v>0</v>
      </c>
      <c r="AZ78" t="n">
        <v>0</v>
      </c>
      <c r="BA78" t="n">
        <v>165625350.005961</v>
      </c>
      <c r="BB78" t="n">
        <v>1989416035.82494</v>
      </c>
      <c r="BC78" t="n">
        <v>0</v>
      </c>
      <c r="BD78" t="n">
        <v>325817061.554861</v>
      </c>
      <c r="BE78" t="n">
        <v>872571063.192757</v>
      </c>
      <c r="BF78" t="n">
        <v>3401994329.77006</v>
      </c>
      <c r="BG78" t="n">
        <v>1232966356.05895</v>
      </c>
      <c r="BH78" t="n">
        <v>7732470016.1349</v>
      </c>
      <c r="BI78" t="n">
        <v>0</v>
      </c>
      <c r="BJ78" t="n">
        <v>134096830.563757</v>
      </c>
      <c r="BK78" t="n">
        <v>114508899.335834</v>
      </c>
      <c r="BL78" t="n">
        <v>95055132.0204319</v>
      </c>
      <c r="BM78" t="n">
        <v>379281380.694087</v>
      </c>
      <c r="BN78" t="n">
        <v>680747692.126565</v>
      </c>
      <c r="BO78" t="n">
        <v>41322485.0561652</v>
      </c>
      <c r="BP78" t="n">
        <v>0</v>
      </c>
      <c r="BQ78" t="n">
        <v>0</v>
      </c>
      <c r="BR78" t="n">
        <v>0</v>
      </c>
      <c r="BS78" t="n">
        <v>64560144278.3259</v>
      </c>
      <c r="BT78" t="n">
        <v>0</v>
      </c>
      <c r="BU78" t="n">
        <v>149223811.700389</v>
      </c>
      <c r="BV78" t="n">
        <v>0</v>
      </c>
    </row>
    <row r="79">
      <c r="A79" t="s">
        <v>206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2959513877.11022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115703924.267896</v>
      </c>
      <c r="AE79" t="n">
        <v>0</v>
      </c>
      <c r="AF79" t="n">
        <v>0</v>
      </c>
      <c r="AG79" t="n">
        <v>0</v>
      </c>
      <c r="AH79" t="n">
        <v>2646952.86020143</v>
      </c>
      <c r="AI79" t="n">
        <v>9224229.66433833</v>
      </c>
      <c r="AJ79" t="n">
        <v>0</v>
      </c>
      <c r="AK79" t="n">
        <v>348475354.580155</v>
      </c>
      <c r="AL79" t="n">
        <v>0</v>
      </c>
      <c r="AM79" t="n">
        <v>318436450.151506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421106.136850228</v>
      </c>
      <c r="AT79" t="n">
        <v>0</v>
      </c>
      <c r="AU79" t="n">
        <v>8742965.50793807</v>
      </c>
      <c r="AV79" t="n">
        <v>0</v>
      </c>
      <c r="AW79" t="n">
        <v>171069354.927109</v>
      </c>
      <c r="AX79" t="n">
        <v>580143887.867331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1985214.64515107</v>
      </c>
      <c r="BL79" t="n">
        <v>875319237.126157</v>
      </c>
      <c r="BM79" t="n">
        <v>0</v>
      </c>
      <c r="BN79" t="n">
        <v>0</v>
      </c>
      <c r="BO79" t="n">
        <v>66494664.2759693</v>
      </c>
      <c r="BP79" t="n">
        <v>0</v>
      </c>
      <c r="BQ79" t="n">
        <v>0</v>
      </c>
      <c r="BR79" t="n">
        <v>0</v>
      </c>
      <c r="BS79" t="n">
        <v>0</v>
      </c>
      <c r="BT79" t="n">
        <v>2209944953.51681</v>
      </c>
      <c r="BU79" t="n">
        <v>0</v>
      </c>
      <c r="BV7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215</v>
      </c>
    </row>
    <row r="2">
      <c r="A2" t="s">
        <v>216</v>
      </c>
    </row>
    <row r="3">
      <c r="A3" t="s">
        <v>217</v>
      </c>
    </row>
    <row r="4">
      <c r="A4" t="s">
        <v>91</v>
      </c>
    </row>
    <row r="5">
      <c r="A5" t="s">
        <v>1</v>
      </c>
    </row>
    <row r="6">
      <c r="A6" t="s">
        <v>218</v>
      </c>
    </row>
    <row r="7">
      <c r="A7" t="s">
        <v>1</v>
      </c>
    </row>
    <row r="9">
      <c r="A9" t="s">
        <v>219</v>
      </c>
      <c r="B9" t="s">
        <v>220</v>
      </c>
      <c r="C9" t="s">
        <v>221</v>
      </c>
      <c r="D9" t="s">
        <v>222</v>
      </c>
      <c r="E9" t="s">
        <v>223</v>
      </c>
    </row>
    <row r="10">
      <c r="A10" t="s">
        <v>224</v>
      </c>
      <c r="B10" t="n">
        <v>12031000</v>
      </c>
      <c r="C10" t="s">
        <v>225</v>
      </c>
      <c r="D10" t="n">
        <v>600000000</v>
      </c>
      <c r="E10" t="s">
        <v>226</v>
      </c>
    </row>
    <row r="11">
      <c r="A11" t="s">
        <v>227</v>
      </c>
      <c r="B11" t="n">
        <v>1000000</v>
      </c>
      <c r="C11" t="s">
        <v>225</v>
      </c>
      <c r="D11" t="n">
        <v>40000000</v>
      </c>
      <c r="E11" t="s">
        <v>228</v>
      </c>
    </row>
    <row r="12">
      <c r="A12" t="s">
        <v>229</v>
      </c>
      <c r="B12" t="n">
        <v>4220000</v>
      </c>
      <c r="C12" t="s">
        <v>225</v>
      </c>
      <c r="D12" t="n">
        <v>125000000</v>
      </c>
      <c r="E12" t="s">
        <v>230</v>
      </c>
    </row>
    <row r="13">
      <c r="A13" t="s">
        <v>231</v>
      </c>
      <c r="B13" t="n">
        <v>0</v>
      </c>
      <c r="C13" t="s">
        <v>225</v>
      </c>
      <c r="D13" t="n">
        <v>0</v>
      </c>
      <c r="E13"/>
    </row>
    <row r="14">
      <c r="A14" t="s">
        <v>232</v>
      </c>
      <c r="B14" t="n">
        <v>0</v>
      </c>
      <c r="C14" t="s">
        <v>225</v>
      </c>
      <c r="D14" t="n">
        <v>0</v>
      </c>
      <c r="E14"/>
    </row>
    <row r="15">
      <c r="A15" t="s">
        <v>233</v>
      </c>
      <c r="B15" t="n">
        <v>10710000</v>
      </c>
      <c r="C15" t="s">
        <v>225</v>
      </c>
      <c r="D15" t="n">
        <v>330000000</v>
      </c>
      <c r="E15" t="s">
        <v>234</v>
      </c>
    </row>
    <row r="16">
      <c r="A16" t="s">
        <v>235</v>
      </c>
      <c r="B16" t="n">
        <v>0</v>
      </c>
      <c r="C16" t="s">
        <v>225</v>
      </c>
      <c r="D16" t="n">
        <v>0</v>
      </c>
      <c r="E16"/>
    </row>
    <row r="17">
      <c r="A17" t="s">
        <v>236</v>
      </c>
      <c r="B17" t="n">
        <v>0</v>
      </c>
      <c r="C17" t="s">
        <v>225</v>
      </c>
      <c r="D17" t="n">
        <v>0</v>
      </c>
      <c r="E17"/>
    </row>
    <row r="18">
      <c r="A18" t="s">
        <v>237</v>
      </c>
      <c r="B18" t="n">
        <v>0</v>
      </c>
      <c r="C18" t="s">
        <v>225</v>
      </c>
      <c r="D18" t="n">
        <v>0</v>
      </c>
      <c r="E18"/>
    </row>
    <row r="19">
      <c r="A19" t="s">
        <v>238</v>
      </c>
      <c r="B19" t="n">
        <v>0</v>
      </c>
      <c r="C19" t="s">
        <v>225</v>
      </c>
      <c r="D19" t="n">
        <v>0</v>
      </c>
      <c r="E19"/>
    </row>
    <row r="20">
      <c r="A20" t="s">
        <v>239</v>
      </c>
      <c r="B20" t="n">
        <v>0</v>
      </c>
      <c r="C20" t="s">
        <v>225</v>
      </c>
      <c r="D20" t="n">
        <v>0</v>
      </c>
      <c r="E20"/>
    </row>
    <row r="21">
      <c r="A21" t="s">
        <v>240</v>
      </c>
      <c r="B21" t="n">
        <v>0</v>
      </c>
      <c r="C21" t="s">
        <v>225</v>
      </c>
      <c r="D21" t="n">
        <v>0</v>
      </c>
      <c r="E21"/>
    </row>
    <row r="22">
      <c r="A22" t="s">
        <v>241</v>
      </c>
      <c r="B22" t="n">
        <v>0</v>
      </c>
      <c r="C22" t="s">
        <v>225</v>
      </c>
      <c r="D22" t="n">
        <v>0</v>
      </c>
      <c r="E22"/>
    </row>
    <row r="23">
      <c r="A23" t="s">
        <v>242</v>
      </c>
      <c r="B23" t="n">
        <v>45919000</v>
      </c>
      <c r="C23" t="s">
        <v>225</v>
      </c>
      <c r="D23" t="n">
        <v>1950000000</v>
      </c>
      <c r="E23" t="s">
        <v>243</v>
      </c>
    </row>
    <row r="24">
      <c r="A24" t="s">
        <v>244</v>
      </c>
      <c r="B24" t="n">
        <v>28820000</v>
      </c>
      <c r="C24" t="s">
        <v>225</v>
      </c>
      <c r="D24" t="n">
        <v>1210000000</v>
      </c>
      <c r="E24" t="s">
        <v>243</v>
      </c>
    </row>
    <row r="25">
      <c r="A25" t="s">
        <v>245</v>
      </c>
      <c r="B25" t="n">
        <v>0</v>
      </c>
      <c r="C25" t="s">
        <v>225</v>
      </c>
      <c r="D25" t="n">
        <v>0</v>
      </c>
      <c r="E25"/>
    </row>
    <row r="26">
      <c r="A26" t="s">
        <v>246</v>
      </c>
      <c r="B26" t="n">
        <v>0</v>
      </c>
      <c r="C26" t="s">
        <v>225</v>
      </c>
      <c r="D26" t="n">
        <v>0</v>
      </c>
      <c r="E26"/>
    </row>
    <row r="27">
      <c r="A27" t="s">
        <v>247</v>
      </c>
      <c r="B27" t="n">
        <v>36140000</v>
      </c>
      <c r="C27" t="s">
        <v>225</v>
      </c>
      <c r="D27" t="n">
        <v>1730000000</v>
      </c>
      <c r="E27" t="s">
        <v>248</v>
      </c>
    </row>
    <row r="28">
      <c r="A28" t="s">
        <v>249</v>
      </c>
      <c r="B28" t="n">
        <v>2720000</v>
      </c>
      <c r="C28" t="s">
        <v>225</v>
      </c>
      <c r="D28" t="n">
        <v>60000000</v>
      </c>
      <c r="E28" t="s">
        <v>250</v>
      </c>
    </row>
    <row r="29">
      <c r="A29" t="s">
        <v>251</v>
      </c>
      <c r="B29" t="n">
        <v>0</v>
      </c>
      <c r="C29" t="s">
        <v>225</v>
      </c>
      <c r="D29" t="n">
        <v>0</v>
      </c>
      <c r="E29"/>
    </row>
    <row r="30">
      <c r="A30" t="s">
        <v>252</v>
      </c>
      <c r="B30" t="n">
        <v>1320000</v>
      </c>
      <c r="C30" t="s">
        <v>225</v>
      </c>
      <c r="D30" t="n">
        <v>70000000</v>
      </c>
      <c r="E30" t="s">
        <v>253</v>
      </c>
    </row>
    <row r="31">
      <c r="A31" t="s">
        <v>254</v>
      </c>
      <c r="B31" t="n">
        <v>0</v>
      </c>
      <c r="C31" t="s">
        <v>225</v>
      </c>
      <c r="D31" t="n">
        <v>0</v>
      </c>
      <c r="E31"/>
    </row>
    <row r="32">
      <c r="A32" t="s">
        <v>255</v>
      </c>
      <c r="B32" t="n">
        <v>0</v>
      </c>
      <c r="C32" t="s">
        <v>225</v>
      </c>
      <c r="D32" t="n">
        <v>0</v>
      </c>
      <c r="E32"/>
    </row>
    <row r="33">
      <c r="A33" t="s">
        <v>256</v>
      </c>
      <c r="B33" t="n">
        <v>0</v>
      </c>
      <c r="C33" t="s">
        <v>225</v>
      </c>
      <c r="D33" t="n">
        <v>0</v>
      </c>
      <c r="E33"/>
    </row>
    <row r="34">
      <c r="A34" t="s">
        <v>257</v>
      </c>
      <c r="B34" t="n">
        <v>2800000</v>
      </c>
      <c r="C34" t="s">
        <v>225</v>
      </c>
      <c r="D34" t="n">
        <v>65000000</v>
      </c>
      <c r="E34" t="s">
        <v>258</v>
      </c>
    </row>
    <row r="35">
      <c r="A35" t="s">
        <v>259</v>
      </c>
      <c r="B35" t="n">
        <v>264000</v>
      </c>
      <c r="C35" t="s">
        <v>225</v>
      </c>
      <c r="D35" t="n">
        <v>12000000</v>
      </c>
      <c r="E35"/>
    </row>
    <row r="36">
      <c r="A36" t="s">
        <v>260</v>
      </c>
      <c r="B36" t="n">
        <v>38660000</v>
      </c>
      <c r="C36" t="s">
        <v>225</v>
      </c>
      <c r="D36" t="n">
        <v>590000000</v>
      </c>
      <c r="E36" t="s">
        <v>261</v>
      </c>
    </row>
    <row r="37">
      <c r="A37" t="s">
        <v>262</v>
      </c>
      <c r="B37" t="n">
        <v>0</v>
      </c>
      <c r="C37" t="s">
        <v>225</v>
      </c>
      <c r="D37" t="n">
        <v>0</v>
      </c>
      <c r="E37"/>
    </row>
    <row r="38">
      <c r="A38" t="s">
        <v>263</v>
      </c>
      <c r="B38" t="n">
        <v>0</v>
      </c>
      <c r="C38" t="s">
        <v>225</v>
      </c>
      <c r="D38" t="n">
        <v>0</v>
      </c>
      <c r="E38"/>
    </row>
    <row r="39">
      <c r="A39" t="s">
        <v>264</v>
      </c>
      <c r="B39" t="n">
        <v>0</v>
      </c>
      <c r="C39" t="s">
        <v>225</v>
      </c>
      <c r="D39" t="n">
        <v>0</v>
      </c>
      <c r="E39"/>
    </row>
    <row r="40">
      <c r="A40" t="s">
        <v>265</v>
      </c>
      <c r="B40" t="n">
        <v>0</v>
      </c>
      <c r="C40" t="s">
        <v>225</v>
      </c>
      <c r="D40" t="n">
        <v>0</v>
      </c>
      <c r="E40"/>
    </row>
    <row r="41">
      <c r="A41" t="s">
        <v>266</v>
      </c>
      <c r="B41" t="n">
        <v>10720000</v>
      </c>
      <c r="C41" t="s">
        <v>225</v>
      </c>
      <c r="D41" t="n">
        <v>260000000</v>
      </c>
      <c r="E41" t="s">
        <v>267</v>
      </c>
    </row>
    <row r="42">
      <c r="A42" t="s">
        <v>268</v>
      </c>
      <c r="B42" t="n">
        <v>0</v>
      </c>
      <c r="C42" t="s">
        <v>225</v>
      </c>
      <c r="D42" t="n">
        <v>0</v>
      </c>
      <c r="E42"/>
    </row>
    <row r="43">
      <c r="A43" t="s">
        <v>269</v>
      </c>
      <c r="B43" t="n">
        <v>0</v>
      </c>
      <c r="C43" t="s">
        <v>225</v>
      </c>
      <c r="D43" t="n">
        <v>0</v>
      </c>
      <c r="E43"/>
    </row>
    <row r="44">
      <c r="A44" t="s">
        <v>270</v>
      </c>
      <c r="B44" t="n">
        <v>27870000</v>
      </c>
      <c r="C44" t="s">
        <v>225</v>
      </c>
      <c r="D44" t="n">
        <v>560000000</v>
      </c>
      <c r="E44" t="s">
        <v>271</v>
      </c>
    </row>
    <row r="45">
      <c r="A45" t="s">
        <v>272</v>
      </c>
      <c r="B45" t="n">
        <v>8220000</v>
      </c>
      <c r="C45" t="s">
        <v>225</v>
      </c>
      <c r="D45" t="n">
        <v>430000000</v>
      </c>
      <c r="E45" t="s">
        <v>273</v>
      </c>
    </row>
    <row r="46">
      <c r="A46" t="s">
        <v>274</v>
      </c>
      <c r="B46" t="n">
        <v>930000</v>
      </c>
      <c r="C46" t="s">
        <v>225</v>
      </c>
      <c r="D46" t="n">
        <v>40000000</v>
      </c>
      <c r="E46"/>
    </row>
    <row r="47">
      <c r="A47" t="s">
        <v>275</v>
      </c>
      <c r="B47" t="n">
        <v>0</v>
      </c>
      <c r="C47" t="s">
        <v>225</v>
      </c>
      <c r="D47" t="n">
        <v>0</v>
      </c>
      <c r="E47"/>
    </row>
    <row r="48">
      <c r="A48" t="s">
        <v>276</v>
      </c>
      <c r="B48" t="n">
        <v>50110000</v>
      </c>
      <c r="C48" t="s">
        <v>225</v>
      </c>
      <c r="D48" t="n">
        <v>3000000000</v>
      </c>
      <c r="E48" t="s">
        <v>277</v>
      </c>
    </row>
    <row r="49">
      <c r="A49" t="s">
        <v>278</v>
      </c>
      <c r="B49" t="n">
        <v>0</v>
      </c>
      <c r="C49" t="s">
        <v>225</v>
      </c>
      <c r="D49" t="n">
        <v>0</v>
      </c>
      <c r="E49"/>
    </row>
    <row r="50">
      <c r="A50" t="s">
        <v>279</v>
      </c>
      <c r="B50" t="n">
        <v>0</v>
      </c>
      <c r="C50" t="s">
        <v>225</v>
      </c>
      <c r="D50" t="n">
        <v>0</v>
      </c>
      <c r="E50"/>
    </row>
    <row r="51">
      <c r="A51" t="s">
        <v>280</v>
      </c>
      <c r="B51" t="n">
        <v>0</v>
      </c>
      <c r="C51" t="s">
        <v>225</v>
      </c>
      <c r="D51" t="n">
        <v>0</v>
      </c>
      <c r="E51"/>
    </row>
    <row r="52">
      <c r="A52" t="s">
        <v>281</v>
      </c>
      <c r="B52" t="n">
        <v>400000</v>
      </c>
      <c r="C52" t="s">
        <v>225</v>
      </c>
      <c r="D52" t="n">
        <v>22000000</v>
      </c>
      <c r="E52" t="s">
        <v>282</v>
      </c>
    </row>
    <row r="53">
      <c r="A53" t="s">
        <v>283</v>
      </c>
      <c r="B53" t="n">
        <v>22820000</v>
      </c>
      <c r="C53" t="s">
        <v>225</v>
      </c>
      <c r="D53" t="n">
        <v>500000000</v>
      </c>
      <c r="E53" t="s">
        <v>250</v>
      </c>
    </row>
    <row r="54">
      <c r="A54" t="s">
        <v>284</v>
      </c>
      <c r="B54" t="n">
        <v>12810000</v>
      </c>
      <c r="C54" t="s">
        <v>225</v>
      </c>
      <c r="D54" t="n">
        <v>380000000</v>
      </c>
      <c r="E54" t="s">
        <v>285</v>
      </c>
    </row>
    <row r="55">
      <c r="A55" t="s">
        <v>286</v>
      </c>
      <c r="B55" t="n">
        <v>0</v>
      </c>
      <c r="C55" t="s">
        <v>225</v>
      </c>
      <c r="D55" t="n">
        <v>0</v>
      </c>
      <c r="E55"/>
    </row>
    <row r="56">
      <c r="A56" t="s">
        <v>287</v>
      </c>
      <c r="B56" t="n">
        <v>11480000</v>
      </c>
      <c r="C56" t="s">
        <v>225</v>
      </c>
      <c r="D56" t="n">
        <v>620000000</v>
      </c>
      <c r="E56" t="s">
        <v>288</v>
      </c>
    </row>
    <row r="57">
      <c r="A57" t="s">
        <v>289</v>
      </c>
      <c r="B57" t="n">
        <v>3050000</v>
      </c>
      <c r="C57" t="s">
        <v>225</v>
      </c>
      <c r="D57" t="n">
        <v>90000000</v>
      </c>
      <c r="E57" t="s">
        <v>290</v>
      </c>
    </row>
    <row r="58">
      <c r="A58" t="s">
        <v>291</v>
      </c>
      <c r="B58" t="n">
        <v>93320000</v>
      </c>
      <c r="C58" t="s">
        <v>225</v>
      </c>
      <c r="D58" t="n">
        <v>5050000000</v>
      </c>
      <c r="E58" t="s">
        <v>292</v>
      </c>
    </row>
    <row r="59">
      <c r="A59" t="s">
        <v>293</v>
      </c>
      <c r="B59" t="n">
        <v>0</v>
      </c>
      <c r="C59" t="s">
        <v>225</v>
      </c>
      <c r="D59" t="n">
        <v>0</v>
      </c>
      <c r="E59"/>
    </row>
    <row r="60">
      <c r="A60" t="s">
        <v>294</v>
      </c>
      <c r="B60" t="n">
        <v>276040000</v>
      </c>
      <c r="C60" t="s">
        <v>225</v>
      </c>
      <c r="D60" t="n">
        <v>3690000000</v>
      </c>
      <c r="E60" t="s">
        <v>295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296</v>
      </c>
    </row>
    <row r="2">
      <c r="A2" t="s">
        <v>297</v>
      </c>
    </row>
    <row r="3">
      <c r="A3" t="s">
        <v>298</v>
      </c>
    </row>
    <row r="4">
      <c r="A4" t="s">
        <v>1</v>
      </c>
    </row>
    <row r="5">
      <c r="A5" t="s">
        <v>299</v>
      </c>
    </row>
    <row r="6">
      <c r="A6" t="s">
        <v>300</v>
      </c>
    </row>
    <row r="7">
      <c r="A7" t="s">
        <v>301</v>
      </c>
    </row>
    <row r="8">
      <c r="A8" t="s">
        <v>302</v>
      </c>
    </row>
    <row r="9">
      <c r="A9" t="s">
        <v>303</v>
      </c>
    </row>
    <row r="10">
      <c r="A10" t="s">
        <v>304</v>
      </c>
    </row>
    <row r="11">
      <c r="A11" t="s">
        <v>305</v>
      </c>
    </row>
    <row r="12">
      <c r="A12" t="s">
        <v>306</v>
      </c>
    </row>
    <row r="13">
      <c r="A13" t="s">
        <v>1</v>
      </c>
    </row>
    <row r="14">
      <c r="A14" t="s">
        <v>307</v>
      </c>
    </row>
    <row r="15">
      <c r="A15" t="s">
        <v>1</v>
      </c>
    </row>
    <row r="17">
      <c r="A17" t="s">
        <v>308</v>
      </c>
    </row>
    <row r="18">
      <c r="A18" t="s">
        <v>309</v>
      </c>
    </row>
    <row r="20">
      <c r="A20" t="s">
        <v>310</v>
      </c>
    </row>
    <row r="21">
      <c r="A21" t="s">
        <v>311</v>
      </c>
    </row>
    <row r="23">
      <c r="A23" t="s">
        <v>312</v>
      </c>
    </row>
    <row r="25">
      <c r="A25" t="s">
        <v>219</v>
      </c>
      <c r="B25" t="s">
        <v>313</v>
      </c>
      <c r="C25" t="s">
        <v>314</v>
      </c>
      <c r="D25" t="s">
        <v>315</v>
      </c>
      <c r="E25" t="s">
        <v>316</v>
      </c>
    </row>
    <row r="26">
      <c r="A26" t="s">
        <v>227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224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231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229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232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233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235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237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236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238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239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240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245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241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242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244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246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247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249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254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252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251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255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256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259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257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260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269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270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262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264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265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266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263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268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272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274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275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276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278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279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280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281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283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284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287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286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289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293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291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294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53.71" hidden="0" customWidth="1"/>
  </cols>
  <sheetData>
    <row r="1">
      <c r="A1" t="s">
        <v>317</v>
      </c>
    </row>
    <row r="2">
      <c r="A2" t="s">
        <v>1</v>
      </c>
    </row>
    <row r="3">
      <c r="A3" t="s">
        <v>318</v>
      </c>
    </row>
    <row r="4">
      <c r="A4" t="s">
        <v>319</v>
      </c>
    </row>
    <row r="5">
      <c r="A5" t="s">
        <v>320</v>
      </c>
    </row>
    <row r="6">
      <c r="A6" t="s">
        <v>1</v>
      </c>
    </row>
    <row r="8">
      <c r="A8" t="s">
        <v>321</v>
      </c>
      <c r="B8" t="s">
        <v>322</v>
      </c>
      <c r="C8" t="s">
        <v>323</v>
      </c>
      <c r="D8" t="s">
        <v>324</v>
      </c>
      <c r="E8" t="s">
        <v>325</v>
      </c>
      <c r="F8" t="s">
        <v>326</v>
      </c>
      <c r="G8" t="s">
        <v>327</v>
      </c>
    </row>
    <row r="9">
      <c r="A9" t="s">
        <v>136</v>
      </c>
      <c r="B9" t="s">
        <v>328</v>
      </c>
      <c r="C9" t="s">
        <v>329</v>
      </c>
      <c r="D9" t="s">
        <v>330</v>
      </c>
      <c r="E9" t="n">
        <v>1</v>
      </c>
      <c r="F9"/>
      <c r="G9"/>
    </row>
    <row r="10">
      <c r="A10" t="s">
        <v>137</v>
      </c>
      <c r="B10" t="s">
        <v>331</v>
      </c>
      <c r="C10" t="s">
        <v>329</v>
      </c>
      <c r="D10" t="s">
        <v>330</v>
      </c>
      <c r="E10" t="n">
        <v>1</v>
      </c>
      <c r="F10"/>
      <c r="G10"/>
    </row>
    <row r="11">
      <c r="A11" t="s">
        <v>138</v>
      </c>
      <c r="B11" t="s">
        <v>332</v>
      </c>
      <c r="C11" t="s">
        <v>333</v>
      </c>
      <c r="D11" t="s">
        <v>334</v>
      </c>
      <c r="E11" t="n">
        <v>1</v>
      </c>
      <c r="F11"/>
      <c r="G11"/>
    </row>
    <row r="12">
      <c r="A12" t="s">
        <v>140</v>
      </c>
      <c r="B12" t="s">
        <v>335</v>
      </c>
      <c r="C12" t="s">
        <v>336</v>
      </c>
      <c r="D12" t="s">
        <v>337</v>
      </c>
      <c r="E12" t="n">
        <v>1</v>
      </c>
      <c r="F12"/>
      <c r="G12"/>
    </row>
    <row r="13">
      <c r="A13" t="s">
        <v>141</v>
      </c>
      <c r="B13" t="s">
        <v>338</v>
      </c>
      <c r="C13" t="s">
        <v>339</v>
      </c>
      <c r="D13" t="s">
        <v>340</v>
      </c>
      <c r="E13" t="n">
        <v>0.72</v>
      </c>
      <c r="F13" t="s">
        <v>341</v>
      </c>
      <c r="G13"/>
    </row>
    <row r="14">
      <c r="A14" t="s">
        <v>141</v>
      </c>
      <c r="B14" t="s">
        <v>338</v>
      </c>
      <c r="C14" t="s">
        <v>342</v>
      </c>
      <c r="D14" t="s">
        <v>343</v>
      </c>
      <c r="E14" t="n">
        <v>0.2</v>
      </c>
      <c r="F14" t="s">
        <v>344</v>
      </c>
      <c r="G14"/>
    </row>
    <row r="15">
      <c r="A15" t="s">
        <v>141</v>
      </c>
      <c r="B15" t="s">
        <v>338</v>
      </c>
      <c r="C15" t="s">
        <v>345</v>
      </c>
      <c r="D15" t="s">
        <v>346</v>
      </c>
      <c r="E15" t="n">
        <v>0.08</v>
      </c>
      <c r="F15" t="s">
        <v>347</v>
      </c>
      <c r="G15"/>
    </row>
    <row r="16">
      <c r="A16" t="s">
        <v>142</v>
      </c>
      <c r="B16" t="s">
        <v>348</v>
      </c>
      <c r="C16" t="s">
        <v>349</v>
      </c>
      <c r="D16" t="s">
        <v>348</v>
      </c>
      <c r="E16" t="n">
        <v>1</v>
      </c>
      <c r="F16"/>
      <c r="G16"/>
    </row>
    <row r="17">
      <c r="A17" t="s">
        <v>154</v>
      </c>
      <c r="B17" t="s">
        <v>350</v>
      </c>
      <c r="C17" t="s">
        <v>351</v>
      </c>
      <c r="D17" t="s">
        <v>352</v>
      </c>
      <c r="E17" t="n">
        <v>1</v>
      </c>
      <c r="F17"/>
      <c r="G17"/>
    </row>
    <row r="18">
      <c r="A18" t="s">
        <v>155</v>
      </c>
      <c r="B18" t="s">
        <v>353</v>
      </c>
      <c r="C18" t="s">
        <v>354</v>
      </c>
      <c r="D18" t="s">
        <v>355</v>
      </c>
      <c r="E18" t="n">
        <v>1</v>
      </c>
      <c r="F18"/>
      <c r="G18"/>
    </row>
    <row r="19">
      <c r="A19" t="s">
        <v>156</v>
      </c>
      <c r="B19" t="s">
        <v>356</v>
      </c>
      <c r="C19" t="s">
        <v>354</v>
      </c>
      <c r="D19" t="s">
        <v>355</v>
      </c>
      <c r="E19" t="n">
        <v>1</v>
      </c>
      <c r="F19"/>
      <c r="G19"/>
    </row>
    <row r="20">
      <c r="A20" t="s">
        <v>143</v>
      </c>
      <c r="B20" t="s">
        <v>357</v>
      </c>
      <c r="C20" t="s">
        <v>358</v>
      </c>
      <c r="D20" t="s">
        <v>359</v>
      </c>
      <c r="E20" t="n">
        <v>1</v>
      </c>
      <c r="F20"/>
      <c r="G20"/>
    </row>
    <row r="21">
      <c r="A21" t="s">
        <v>157</v>
      </c>
      <c r="B21" t="s">
        <v>360</v>
      </c>
      <c r="C21" t="s">
        <v>361</v>
      </c>
      <c r="D21" t="s">
        <v>362</v>
      </c>
      <c r="E21" t="n">
        <v>1</v>
      </c>
      <c r="F21"/>
      <c r="G21"/>
    </row>
    <row r="22">
      <c r="A22" t="s">
        <v>158</v>
      </c>
      <c r="B22" t="s">
        <v>363</v>
      </c>
      <c r="C22" t="s">
        <v>361</v>
      </c>
      <c r="D22" t="s">
        <v>362</v>
      </c>
      <c r="E22" t="n">
        <v>1</v>
      </c>
      <c r="F22"/>
      <c r="G22"/>
    </row>
    <row r="23">
      <c r="A23" t="s">
        <v>159</v>
      </c>
      <c r="B23" t="s">
        <v>364</v>
      </c>
      <c r="C23" t="s">
        <v>365</v>
      </c>
      <c r="D23" t="s">
        <v>366</v>
      </c>
      <c r="E23" t="n">
        <v>0.961</v>
      </c>
      <c r="F23" t="s">
        <v>367</v>
      </c>
      <c r="G23"/>
    </row>
    <row r="24">
      <c r="A24" t="s">
        <v>159</v>
      </c>
      <c r="B24" t="s">
        <v>364</v>
      </c>
      <c r="C24" t="s">
        <v>368</v>
      </c>
      <c r="D24" t="s">
        <v>369</v>
      </c>
      <c r="E24" t="n">
        <v>0.039</v>
      </c>
      <c r="F24" t="s">
        <v>370</v>
      </c>
      <c r="G24"/>
    </row>
    <row r="25">
      <c r="A25" t="s">
        <v>161</v>
      </c>
      <c r="B25" t="s">
        <v>371</v>
      </c>
      <c r="C25" t="s">
        <v>141</v>
      </c>
      <c r="D25" t="s">
        <v>372</v>
      </c>
      <c r="E25" t="n">
        <v>1</v>
      </c>
      <c r="F25"/>
      <c r="G25"/>
    </row>
    <row r="26">
      <c r="A26" t="s">
        <v>146</v>
      </c>
      <c r="B26" t="s">
        <v>373</v>
      </c>
      <c r="C26" t="s">
        <v>374</v>
      </c>
      <c r="D26" t="s">
        <v>373</v>
      </c>
      <c r="E26" t="n">
        <v>1</v>
      </c>
      <c r="F26"/>
      <c r="G26"/>
    </row>
    <row r="27">
      <c r="A27" t="s">
        <v>147</v>
      </c>
      <c r="B27" t="s">
        <v>375</v>
      </c>
      <c r="C27" t="s">
        <v>376</v>
      </c>
      <c r="D27" t="s">
        <v>377</v>
      </c>
      <c r="E27" t="n">
        <v>1</v>
      </c>
      <c r="F27"/>
      <c r="G27"/>
    </row>
    <row r="28">
      <c r="A28" t="s">
        <v>148</v>
      </c>
      <c r="B28" t="s">
        <v>378</v>
      </c>
      <c r="C28" t="s">
        <v>379</v>
      </c>
      <c r="D28" t="s">
        <v>380</v>
      </c>
      <c r="E28" t="n">
        <v>1</v>
      </c>
      <c r="F28"/>
      <c r="G28"/>
    </row>
    <row r="29">
      <c r="A29" t="s">
        <v>149</v>
      </c>
      <c r="B29" t="s">
        <v>381</v>
      </c>
      <c r="C29" t="s">
        <v>382</v>
      </c>
      <c r="D29" t="s">
        <v>383</v>
      </c>
      <c r="E29" t="n">
        <v>1</v>
      </c>
      <c r="F29"/>
      <c r="G29"/>
    </row>
    <row r="30">
      <c r="A30" t="s">
        <v>150</v>
      </c>
      <c r="B30" t="s">
        <v>384</v>
      </c>
      <c r="C30" t="s">
        <v>385</v>
      </c>
      <c r="D30" t="s">
        <v>386</v>
      </c>
      <c r="E30" t="n">
        <v>1</v>
      </c>
      <c r="F30"/>
      <c r="G30"/>
    </row>
    <row r="31">
      <c r="A31" t="s">
        <v>151</v>
      </c>
      <c r="B31" t="s">
        <v>387</v>
      </c>
      <c r="C31" t="s">
        <v>388</v>
      </c>
      <c r="D31" t="s">
        <v>389</v>
      </c>
      <c r="E31" t="n">
        <v>1</v>
      </c>
      <c r="F31"/>
      <c r="G31"/>
    </row>
    <row r="32">
      <c r="A32" t="s">
        <v>152</v>
      </c>
      <c r="B32" t="s">
        <v>390</v>
      </c>
      <c r="C32" t="s">
        <v>391</v>
      </c>
      <c r="D32" t="s">
        <v>392</v>
      </c>
      <c r="E32" t="n">
        <v>1</v>
      </c>
      <c r="F32"/>
      <c r="G32"/>
    </row>
    <row r="33">
      <c r="A33" t="s">
        <v>153</v>
      </c>
      <c r="B33" t="s">
        <v>393</v>
      </c>
      <c r="C33" t="s">
        <v>391</v>
      </c>
      <c r="D33" t="s">
        <v>392</v>
      </c>
      <c r="E33" t="n">
        <v>1</v>
      </c>
      <c r="F33"/>
      <c r="G33"/>
    </row>
    <row r="34">
      <c r="A34" t="s">
        <v>162</v>
      </c>
      <c r="B34" t="s">
        <v>394</v>
      </c>
      <c r="C34" t="s">
        <v>395</v>
      </c>
      <c r="D34" t="s">
        <v>396</v>
      </c>
      <c r="E34" t="n">
        <v>1</v>
      </c>
      <c r="F34"/>
      <c r="G34"/>
    </row>
    <row r="35">
      <c r="A35" t="s">
        <v>163</v>
      </c>
      <c r="B35" t="s">
        <v>397</v>
      </c>
      <c r="C35" t="s">
        <v>395</v>
      </c>
      <c r="D35" t="s">
        <v>396</v>
      </c>
      <c r="E35" t="n">
        <v>1</v>
      </c>
      <c r="F35"/>
      <c r="G35"/>
    </row>
    <row r="36">
      <c r="A36" t="s">
        <v>164</v>
      </c>
      <c r="B36" t="s">
        <v>398</v>
      </c>
      <c r="C36" t="s">
        <v>395</v>
      </c>
      <c r="D36" t="s">
        <v>396</v>
      </c>
      <c r="E36" t="n">
        <v>1</v>
      </c>
      <c r="F36"/>
      <c r="G36"/>
    </row>
    <row r="37">
      <c r="A37" t="s">
        <v>165</v>
      </c>
      <c r="B37" t="s">
        <v>399</v>
      </c>
      <c r="C37" t="s">
        <v>395</v>
      </c>
      <c r="D37" t="s">
        <v>396</v>
      </c>
      <c r="E37" t="n">
        <v>1</v>
      </c>
      <c r="F37"/>
      <c r="G37"/>
    </row>
    <row r="38">
      <c r="A38" t="s">
        <v>166</v>
      </c>
      <c r="B38" t="s">
        <v>400</v>
      </c>
      <c r="C38" t="s">
        <v>395</v>
      </c>
      <c r="D38" t="s">
        <v>396</v>
      </c>
      <c r="E38" t="n">
        <v>1</v>
      </c>
      <c r="F38"/>
      <c r="G38"/>
    </row>
    <row r="39">
      <c r="A39" t="s">
        <v>167</v>
      </c>
      <c r="B39" t="s">
        <v>401</v>
      </c>
      <c r="C39" t="s">
        <v>402</v>
      </c>
      <c r="D39" t="s">
        <v>403</v>
      </c>
      <c r="E39" t="n">
        <v>1</v>
      </c>
      <c r="F39"/>
      <c r="G39"/>
    </row>
    <row r="40">
      <c r="A40" t="s">
        <v>168</v>
      </c>
      <c r="B40" t="s">
        <v>404</v>
      </c>
      <c r="C40" t="s">
        <v>402</v>
      </c>
      <c r="D40" t="s">
        <v>403</v>
      </c>
      <c r="E40" t="n">
        <v>1</v>
      </c>
      <c r="F40"/>
      <c r="G40"/>
    </row>
    <row r="41">
      <c r="A41" t="s">
        <v>169</v>
      </c>
      <c r="B41" t="s">
        <v>405</v>
      </c>
      <c r="C41" t="s">
        <v>402</v>
      </c>
      <c r="D41" t="s">
        <v>403</v>
      </c>
      <c r="E41" t="n">
        <v>1</v>
      </c>
      <c r="F41"/>
      <c r="G41"/>
    </row>
    <row r="42">
      <c r="A42" t="s">
        <v>170</v>
      </c>
      <c r="B42" t="s">
        <v>406</v>
      </c>
      <c r="C42" t="s">
        <v>402</v>
      </c>
      <c r="D42" t="s">
        <v>403</v>
      </c>
      <c r="E42" t="n">
        <v>1</v>
      </c>
      <c r="F42"/>
      <c r="G42"/>
    </row>
    <row r="43">
      <c r="A43" t="s">
        <v>171</v>
      </c>
      <c r="B43" t="s">
        <v>407</v>
      </c>
      <c r="C43" t="s">
        <v>402</v>
      </c>
      <c r="D43" t="s">
        <v>403</v>
      </c>
      <c r="E43" t="n">
        <v>1</v>
      </c>
      <c r="F43"/>
      <c r="G43"/>
    </row>
    <row r="44">
      <c r="A44" t="s">
        <v>172</v>
      </c>
      <c r="B44" t="s">
        <v>408</v>
      </c>
      <c r="C44" t="s">
        <v>342</v>
      </c>
      <c r="D44" t="s">
        <v>409</v>
      </c>
      <c r="E44" t="n">
        <v>1</v>
      </c>
      <c r="F44" t="s">
        <v>410</v>
      </c>
      <c r="G44"/>
    </row>
    <row r="45">
      <c r="A45" t="s">
        <v>173</v>
      </c>
      <c r="B45" t="s">
        <v>411</v>
      </c>
      <c r="C45" t="s">
        <v>402</v>
      </c>
      <c r="D45" t="s">
        <v>403</v>
      </c>
      <c r="E45" t="n">
        <v>1</v>
      </c>
      <c r="F45"/>
      <c r="G45"/>
    </row>
    <row r="46">
      <c r="A46" t="s">
        <v>174</v>
      </c>
      <c r="B46" t="s">
        <v>412</v>
      </c>
      <c r="C46" t="s">
        <v>402</v>
      </c>
      <c r="D46" t="s">
        <v>403</v>
      </c>
      <c r="E46" t="n">
        <v>1</v>
      </c>
      <c r="F46"/>
      <c r="G46"/>
    </row>
    <row r="47">
      <c r="A47" t="s">
        <v>175</v>
      </c>
      <c r="B47" t="s">
        <v>413</v>
      </c>
      <c r="C47" t="s">
        <v>414</v>
      </c>
      <c r="D47" t="s">
        <v>415</v>
      </c>
      <c r="E47" t="n">
        <v>1</v>
      </c>
      <c r="F47"/>
      <c r="G47"/>
    </row>
    <row r="48">
      <c r="A48" t="s">
        <v>176</v>
      </c>
      <c r="B48" t="s">
        <v>416</v>
      </c>
      <c r="C48" t="s">
        <v>414</v>
      </c>
      <c r="D48" t="s">
        <v>415</v>
      </c>
      <c r="E48" t="n">
        <v>1</v>
      </c>
      <c r="F48"/>
      <c r="G48"/>
    </row>
    <row r="49">
      <c r="A49" t="s">
        <v>177</v>
      </c>
      <c r="B49" t="s">
        <v>417</v>
      </c>
      <c r="C49" t="s">
        <v>414</v>
      </c>
      <c r="D49" t="s">
        <v>415</v>
      </c>
      <c r="E49" t="n">
        <v>0.25</v>
      </c>
      <c r="F49" t="s">
        <v>418</v>
      </c>
      <c r="G49"/>
    </row>
    <row r="50">
      <c r="A50" t="s">
        <v>177</v>
      </c>
      <c r="B50" t="s">
        <v>417</v>
      </c>
      <c r="C50" t="s">
        <v>192</v>
      </c>
      <c r="D50" t="s">
        <v>419</v>
      </c>
      <c r="E50" t="n">
        <v>0.75</v>
      </c>
      <c r="F50"/>
      <c r="G50"/>
    </row>
    <row r="51">
      <c r="A51" t="s">
        <v>178</v>
      </c>
      <c r="B51" t="s">
        <v>420</v>
      </c>
      <c r="C51" t="s">
        <v>421</v>
      </c>
      <c r="D51" t="s">
        <v>422</v>
      </c>
      <c r="E51" t="n">
        <v>1</v>
      </c>
      <c r="F51"/>
      <c r="G51"/>
    </row>
    <row r="52">
      <c r="A52" t="s">
        <v>179</v>
      </c>
      <c r="B52" t="s">
        <v>423</v>
      </c>
      <c r="C52" t="s">
        <v>424</v>
      </c>
      <c r="D52" t="s">
        <v>425</v>
      </c>
      <c r="E52" t="n">
        <v>1</v>
      </c>
      <c r="F52"/>
      <c r="G52"/>
    </row>
    <row r="53">
      <c r="A53" t="s">
        <v>180</v>
      </c>
      <c r="B53" t="s">
        <v>426</v>
      </c>
      <c r="C53" t="s">
        <v>424</v>
      </c>
      <c r="D53" t="s">
        <v>425</v>
      </c>
      <c r="E53" t="n">
        <v>1</v>
      </c>
      <c r="F53"/>
      <c r="G53"/>
    </row>
    <row r="54">
      <c r="A54" t="s">
        <v>181</v>
      </c>
      <c r="B54" t="s">
        <v>427</v>
      </c>
      <c r="C54" t="s">
        <v>424</v>
      </c>
      <c r="D54" t="s">
        <v>425</v>
      </c>
      <c r="E54" t="n">
        <v>1</v>
      </c>
      <c r="F54"/>
      <c r="G54"/>
    </row>
    <row r="55">
      <c r="A55" t="s">
        <v>182</v>
      </c>
      <c r="B55" t="s">
        <v>428</v>
      </c>
      <c r="C55" t="s">
        <v>424</v>
      </c>
      <c r="D55" t="s">
        <v>425</v>
      </c>
      <c r="E55" t="n">
        <v>1</v>
      </c>
      <c r="F55"/>
      <c r="G55"/>
    </row>
    <row r="56">
      <c r="A56" t="s">
        <v>183</v>
      </c>
      <c r="B56" t="s">
        <v>429</v>
      </c>
      <c r="C56" t="s">
        <v>430</v>
      </c>
      <c r="D56" t="s">
        <v>431</v>
      </c>
      <c r="E56" t="n">
        <v>1</v>
      </c>
      <c r="F56"/>
      <c r="G56"/>
    </row>
    <row r="57">
      <c r="A57" t="s">
        <v>184</v>
      </c>
      <c r="B57" t="s">
        <v>432</v>
      </c>
      <c r="C57" t="s">
        <v>430</v>
      </c>
      <c r="D57" t="s">
        <v>431</v>
      </c>
      <c r="E57" t="n">
        <v>1</v>
      </c>
      <c r="F57"/>
      <c r="G57"/>
    </row>
    <row r="58">
      <c r="A58" t="s">
        <v>185</v>
      </c>
      <c r="B58" t="s">
        <v>433</v>
      </c>
      <c r="C58" t="s">
        <v>434</v>
      </c>
      <c r="D58" t="s">
        <v>435</v>
      </c>
      <c r="E58" t="n">
        <v>1</v>
      </c>
      <c r="F58" t="s">
        <v>436</v>
      </c>
      <c r="G58"/>
    </row>
    <row r="59">
      <c r="A59" t="s">
        <v>186</v>
      </c>
      <c r="B59" t="s">
        <v>437</v>
      </c>
      <c r="C59" t="s">
        <v>434</v>
      </c>
      <c r="D59" t="s">
        <v>435</v>
      </c>
      <c r="E59" t="n">
        <v>1</v>
      </c>
      <c r="F59"/>
      <c r="G59"/>
    </row>
    <row r="60">
      <c r="A60" t="s">
        <v>188</v>
      </c>
      <c r="B60" t="s">
        <v>438</v>
      </c>
      <c r="C60" t="s">
        <v>434</v>
      </c>
      <c r="D60" t="s">
        <v>435</v>
      </c>
      <c r="E60" t="n">
        <v>1</v>
      </c>
      <c r="F60"/>
      <c r="G60"/>
    </row>
    <row r="61">
      <c r="A61" t="s">
        <v>187</v>
      </c>
      <c r="B61" t="s">
        <v>439</v>
      </c>
      <c r="C61" t="s">
        <v>421</v>
      </c>
      <c r="D61" t="s">
        <v>422</v>
      </c>
      <c r="E61" t="n">
        <v>1</v>
      </c>
      <c r="F61" t="s">
        <v>440</v>
      </c>
      <c r="G61"/>
    </row>
    <row r="62">
      <c r="A62" t="s">
        <v>189</v>
      </c>
      <c r="B62" t="s">
        <v>441</v>
      </c>
      <c r="C62" t="s">
        <v>434</v>
      </c>
      <c r="D62" t="s">
        <v>435</v>
      </c>
      <c r="E62" t="n">
        <v>1</v>
      </c>
      <c r="F62"/>
      <c r="G62"/>
    </row>
    <row r="63">
      <c r="A63" t="s">
        <v>190</v>
      </c>
      <c r="B63" t="s">
        <v>442</v>
      </c>
      <c r="C63" t="s">
        <v>434</v>
      </c>
      <c r="D63" t="s">
        <v>435</v>
      </c>
      <c r="E63" t="n">
        <v>1</v>
      </c>
      <c r="F63"/>
      <c r="G63"/>
    </row>
    <row r="64">
      <c r="A64" t="s">
        <v>191</v>
      </c>
      <c r="B64" t="s">
        <v>443</v>
      </c>
      <c r="C64" t="s">
        <v>345</v>
      </c>
      <c r="D64" t="s">
        <v>444</v>
      </c>
      <c r="E64" t="n">
        <v>1</v>
      </c>
      <c r="F64"/>
      <c r="G64"/>
    </row>
    <row r="65">
      <c r="A65" t="s">
        <v>192</v>
      </c>
      <c r="B65" t="s">
        <v>445</v>
      </c>
      <c r="C65" t="s">
        <v>446</v>
      </c>
      <c r="D65" t="s">
        <v>447</v>
      </c>
      <c r="E65" t="n">
        <v>1</v>
      </c>
      <c r="F65"/>
      <c r="G65"/>
    </row>
    <row r="66">
      <c r="A66" t="s">
        <v>193</v>
      </c>
      <c r="B66" t="s">
        <v>448</v>
      </c>
      <c r="C66" t="s">
        <v>449</v>
      </c>
      <c r="D66" t="s">
        <v>450</v>
      </c>
      <c r="E66" t="n">
        <v>1</v>
      </c>
      <c r="F66"/>
      <c r="G66"/>
    </row>
    <row r="67">
      <c r="A67" t="s">
        <v>194</v>
      </c>
      <c r="B67" t="s">
        <v>451</v>
      </c>
      <c r="C67" t="s">
        <v>449</v>
      </c>
      <c r="D67" t="s">
        <v>450</v>
      </c>
      <c r="E67" t="n">
        <v>1</v>
      </c>
      <c r="F67"/>
      <c r="G67"/>
    </row>
    <row r="68">
      <c r="A68" t="s">
        <v>195</v>
      </c>
      <c r="B68" t="s">
        <v>452</v>
      </c>
      <c r="C68" t="s">
        <v>449</v>
      </c>
      <c r="D68" t="s">
        <v>450</v>
      </c>
      <c r="E68" t="n">
        <v>1</v>
      </c>
      <c r="F68"/>
      <c r="G68"/>
    </row>
    <row r="69">
      <c r="A69" t="s">
        <v>196</v>
      </c>
      <c r="B69" t="s">
        <v>453</v>
      </c>
      <c r="C69" t="s">
        <v>449</v>
      </c>
      <c r="D69" t="s">
        <v>450</v>
      </c>
      <c r="E69" t="n">
        <v>1</v>
      </c>
      <c r="F69"/>
      <c r="G69"/>
    </row>
    <row r="70">
      <c r="A70" t="s">
        <v>197</v>
      </c>
      <c r="B70" t="s">
        <v>454</v>
      </c>
      <c r="C70" t="s">
        <v>455</v>
      </c>
      <c r="D70" t="s">
        <v>456</v>
      </c>
      <c r="E70" t="n">
        <v>1</v>
      </c>
      <c r="F70"/>
      <c r="G70"/>
    </row>
    <row r="71">
      <c r="A71" t="s">
        <v>198</v>
      </c>
      <c r="B71" t="s">
        <v>457</v>
      </c>
      <c r="C71" t="s">
        <v>455</v>
      </c>
      <c r="D71" t="s">
        <v>456</v>
      </c>
      <c r="E71" t="n">
        <v>1</v>
      </c>
      <c r="F71"/>
      <c r="G71"/>
    </row>
    <row r="72">
      <c r="A72" t="s">
        <v>199</v>
      </c>
      <c r="B72" t="s">
        <v>458</v>
      </c>
      <c r="C72" t="s">
        <v>459</v>
      </c>
      <c r="D72" t="s">
        <v>460</v>
      </c>
      <c r="E72" t="n">
        <v>1</v>
      </c>
      <c r="F72"/>
      <c r="G72"/>
    </row>
    <row r="73">
      <c r="A73" t="s">
        <v>200</v>
      </c>
      <c r="B73" t="s">
        <v>461</v>
      </c>
      <c r="C73" t="s">
        <v>459</v>
      </c>
      <c r="D73" t="s">
        <v>460</v>
      </c>
      <c r="E73" t="n">
        <v>1</v>
      </c>
      <c r="F73"/>
      <c r="G73"/>
    </row>
    <row r="74">
      <c r="A74" t="s">
        <v>201</v>
      </c>
      <c r="B74" t="s">
        <v>462</v>
      </c>
      <c r="C74" t="s">
        <v>455</v>
      </c>
      <c r="D74" t="s">
        <v>456</v>
      </c>
      <c r="E74" t="n">
        <v>1</v>
      </c>
      <c r="F74"/>
      <c r="G74"/>
    </row>
    <row r="75">
      <c r="A75" t="s">
        <v>202</v>
      </c>
      <c r="B75" t="s">
        <v>463</v>
      </c>
      <c r="C75" t="s">
        <v>464</v>
      </c>
      <c r="D75" t="s">
        <v>465</v>
      </c>
      <c r="E75" t="n">
        <v>1</v>
      </c>
      <c r="F75"/>
      <c r="G75"/>
    </row>
    <row r="76">
      <c r="A76" t="s">
        <v>203</v>
      </c>
      <c r="B76" t="s">
        <v>466</v>
      </c>
      <c r="C76" t="s">
        <v>464</v>
      </c>
      <c r="D76" t="s">
        <v>465</v>
      </c>
      <c r="E76" t="n">
        <v>1</v>
      </c>
      <c r="F76"/>
      <c r="G76"/>
    </row>
    <row r="77">
      <c r="A77" t="s">
        <v>204</v>
      </c>
      <c r="B77" t="s">
        <v>467</v>
      </c>
      <c r="C77" t="s">
        <v>464</v>
      </c>
      <c r="D77" t="s">
        <v>465</v>
      </c>
      <c r="E77" t="n">
        <v>1</v>
      </c>
      <c r="F77"/>
      <c r="G77"/>
    </row>
    <row r="78">
      <c r="A78" t="s">
        <v>205</v>
      </c>
      <c r="B78" t="s">
        <v>468</v>
      </c>
      <c r="C78" t="s">
        <v>464</v>
      </c>
      <c r="D78" t="s">
        <v>465</v>
      </c>
      <c r="E78" t="n">
        <v>1</v>
      </c>
      <c r="F78"/>
      <c r="G78"/>
    </row>
    <row r="79">
      <c r="A79" t="s">
        <v>206</v>
      </c>
      <c r="B79" t="s">
        <v>469</v>
      </c>
      <c r="C79" t="s">
        <v>464</v>
      </c>
      <c r="D79" t="s">
        <v>465</v>
      </c>
      <c r="E79" t="n">
        <v>1</v>
      </c>
      <c r="F79"/>
      <c r="G79"/>
    </row>
    <row r="80">
      <c r="A80" t="s">
        <v>139</v>
      </c>
      <c r="B80" t="s">
        <v>470</v>
      </c>
      <c r="C80" t="s">
        <v>471</v>
      </c>
      <c r="D80" t="s">
        <v>472</v>
      </c>
      <c r="E80" t="n">
        <v>0.191147054340402</v>
      </c>
      <c r="F80"/>
      <c r="G80" t="s">
        <v>473</v>
      </c>
    </row>
    <row r="81">
      <c r="A81" t="s">
        <v>139</v>
      </c>
      <c r="B81" t="s">
        <v>470</v>
      </c>
      <c r="C81" t="s">
        <v>474</v>
      </c>
      <c r="D81" t="s">
        <v>475</v>
      </c>
      <c r="E81" t="n">
        <v>0.808852945659598</v>
      </c>
      <c r="F81"/>
      <c r="G81" t="s">
        <v>473</v>
      </c>
    </row>
    <row r="82">
      <c r="A82" t="s">
        <v>144</v>
      </c>
      <c r="B82" t="s">
        <v>476</v>
      </c>
      <c r="C82" t="s">
        <v>477</v>
      </c>
      <c r="D82" t="s">
        <v>478</v>
      </c>
      <c r="E82" t="n">
        <v>0.25</v>
      </c>
      <c r="F82"/>
      <c r="G82" t="s">
        <v>479</v>
      </c>
    </row>
    <row r="83">
      <c r="A83" t="s">
        <v>144</v>
      </c>
      <c r="B83" t="s">
        <v>476</v>
      </c>
      <c r="C83" t="s">
        <v>480</v>
      </c>
      <c r="D83" t="s">
        <v>481</v>
      </c>
      <c r="E83" t="n">
        <v>0.75</v>
      </c>
      <c r="F83"/>
      <c r="G83" t="s">
        <v>479</v>
      </c>
    </row>
    <row r="84">
      <c r="A84" t="s">
        <v>145</v>
      </c>
      <c r="B84" t="s">
        <v>482</v>
      </c>
      <c r="C84" t="s">
        <v>368</v>
      </c>
      <c r="D84" t="s">
        <v>369</v>
      </c>
      <c r="E84" t="n">
        <v>0.65</v>
      </c>
      <c r="F84"/>
      <c r="G84" t="s">
        <v>483</v>
      </c>
    </row>
    <row r="85">
      <c r="A85" t="s">
        <v>145</v>
      </c>
      <c r="B85" t="s">
        <v>482</v>
      </c>
      <c r="C85" t="s">
        <v>484</v>
      </c>
      <c r="D85" t="s">
        <v>485</v>
      </c>
      <c r="E85" t="n">
        <v>0.35</v>
      </c>
      <c r="F85"/>
      <c r="G85" t="s">
        <v>483</v>
      </c>
    </row>
    <row r="86">
      <c r="A86" t="s">
        <v>160</v>
      </c>
      <c r="B86" t="s">
        <v>486</v>
      </c>
      <c r="C86" t="s">
        <v>487</v>
      </c>
      <c r="D86" t="s">
        <v>488</v>
      </c>
      <c r="E86" t="n">
        <v>0.65</v>
      </c>
      <c r="F86"/>
      <c r="G86" t="s">
        <v>489</v>
      </c>
    </row>
    <row r="87">
      <c r="A87" t="s">
        <v>160</v>
      </c>
      <c r="B87" t="s">
        <v>486</v>
      </c>
      <c r="C87" t="s">
        <v>490</v>
      </c>
      <c r="D87" t="s">
        <v>491</v>
      </c>
      <c r="E87" t="n">
        <v>0.35</v>
      </c>
      <c r="F87"/>
      <c r="G87" t="s">
        <v>489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492</v>
      </c>
    </row>
    <row r="2">
      <c r="A2" t="s">
        <v>1</v>
      </c>
    </row>
    <row r="3">
      <c r="A3" t="s">
        <v>493</v>
      </c>
    </row>
    <row r="4">
      <c r="A4" t="s">
        <v>494</v>
      </c>
    </row>
    <row r="5">
      <c r="A5" t="s">
        <v>495</v>
      </c>
    </row>
    <row r="6">
      <c r="A6" t="s">
        <v>496</v>
      </c>
    </row>
    <row r="7">
      <c r="A7" t="s">
        <v>497</v>
      </c>
    </row>
    <row r="8">
      <c r="A8" t="s">
        <v>498</v>
      </c>
    </row>
    <row r="9">
      <c r="A9" t="s">
        <v>1</v>
      </c>
    </row>
    <row r="11">
      <c r="A11" t="s">
        <v>321</v>
      </c>
      <c r="B11" t="s">
        <v>323</v>
      </c>
      <c r="C11" t="s">
        <v>325</v>
      </c>
      <c r="D11" t="s">
        <v>327</v>
      </c>
    </row>
    <row r="12">
      <c r="A12" t="n">
        <v>212</v>
      </c>
      <c r="B12" t="s">
        <v>471</v>
      </c>
      <c r="C12" t="n">
        <v>0.191147054340402</v>
      </c>
      <c r="D12" t="s">
        <v>473</v>
      </c>
    </row>
    <row r="13">
      <c r="A13" t="n">
        <v>212</v>
      </c>
      <c r="B13" t="s">
        <v>474</v>
      </c>
      <c r="C13" t="n">
        <v>0.808852945659598</v>
      </c>
      <c r="D13" t="s">
        <v>473</v>
      </c>
    </row>
    <row r="14">
      <c r="A14" t="n">
        <v>327</v>
      </c>
      <c r="B14" t="s">
        <v>477</v>
      </c>
      <c r="C14" t="n">
        <v>0.25</v>
      </c>
      <c r="D14" t="s">
        <v>479</v>
      </c>
    </row>
    <row r="15">
      <c r="A15" t="n">
        <v>327</v>
      </c>
      <c r="B15" t="s">
        <v>480</v>
      </c>
      <c r="C15" t="n">
        <v>0.75</v>
      </c>
      <c r="D15" t="s">
        <v>479</v>
      </c>
    </row>
    <row r="16">
      <c r="A16" t="n">
        <v>331</v>
      </c>
      <c r="B16" t="s">
        <v>368</v>
      </c>
      <c r="C16" t="n">
        <v>0.65</v>
      </c>
      <c r="D16" t="s">
        <v>483</v>
      </c>
    </row>
    <row r="17">
      <c r="A17" t="n">
        <v>331</v>
      </c>
      <c r="B17" t="s">
        <v>484</v>
      </c>
      <c r="C17" t="n">
        <v>0.35</v>
      </c>
      <c r="D17" t="s">
        <v>483</v>
      </c>
    </row>
    <row r="18">
      <c r="A18" t="n">
        <v>325</v>
      </c>
      <c r="B18" t="s">
        <v>487</v>
      </c>
      <c r="C18" t="n">
        <v>0.65</v>
      </c>
      <c r="D18" t="s">
        <v>489</v>
      </c>
    </row>
    <row r="19">
      <c r="A19" t="n">
        <v>325</v>
      </c>
      <c r="B19" t="s">
        <v>490</v>
      </c>
      <c r="C19" t="n">
        <v>0.35</v>
      </c>
      <c r="D19" t="s">
        <v>489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499</v>
      </c>
    </row>
    <row r="2">
      <c r="A2" t="s">
        <v>500</v>
      </c>
    </row>
    <row r="3">
      <c r="A3" t="s">
        <v>501</v>
      </c>
    </row>
    <row r="4">
      <c r="A4" t="s">
        <v>502</v>
      </c>
    </row>
    <row r="5">
      <c r="A5" t="s">
        <v>1</v>
      </c>
    </row>
    <row r="7">
      <c r="A7" t="s">
        <v>503</v>
      </c>
      <c r="B7" t="s">
        <v>504</v>
      </c>
      <c r="C7" t="s">
        <v>505</v>
      </c>
    </row>
    <row r="8">
      <c r="A8" t="s">
        <v>329</v>
      </c>
      <c r="B8" t="s">
        <v>506</v>
      </c>
      <c r="C8" t="s">
        <v>507</v>
      </c>
    </row>
    <row r="9">
      <c r="A9" t="s">
        <v>471</v>
      </c>
      <c r="B9" t="s">
        <v>472</v>
      </c>
      <c r="C9" t="s">
        <v>508</v>
      </c>
    </row>
    <row r="10">
      <c r="A10" t="s">
        <v>333</v>
      </c>
      <c r="B10" t="s">
        <v>334</v>
      </c>
      <c r="C10" t="s">
        <v>509</v>
      </c>
    </row>
    <row r="11">
      <c r="A11" t="s">
        <v>474</v>
      </c>
      <c r="B11" t="s">
        <v>510</v>
      </c>
      <c r="C11" t="s">
        <v>511</v>
      </c>
    </row>
    <row r="12">
      <c r="A12" t="s">
        <v>336</v>
      </c>
      <c r="B12" t="s">
        <v>337</v>
      </c>
      <c r="C12" t="s">
        <v>512</v>
      </c>
    </row>
    <row r="13">
      <c r="A13" t="s">
        <v>351</v>
      </c>
      <c r="B13" t="s">
        <v>513</v>
      </c>
      <c r="C13" t="s">
        <v>514</v>
      </c>
    </row>
    <row r="14">
      <c r="A14" t="s">
        <v>354</v>
      </c>
      <c r="B14" t="s">
        <v>515</v>
      </c>
      <c r="C14" t="s">
        <v>516</v>
      </c>
    </row>
    <row r="15">
      <c r="A15" t="s">
        <v>358</v>
      </c>
      <c r="B15" t="s">
        <v>517</v>
      </c>
      <c r="C15" t="s">
        <v>518</v>
      </c>
    </row>
    <row r="16">
      <c r="A16" t="s">
        <v>361</v>
      </c>
      <c r="B16" t="s">
        <v>362</v>
      </c>
      <c r="C16" t="s">
        <v>519</v>
      </c>
    </row>
    <row r="17">
      <c r="A17" t="s">
        <v>365</v>
      </c>
      <c r="B17" t="s">
        <v>366</v>
      </c>
      <c r="C17" t="s">
        <v>520</v>
      </c>
    </row>
    <row r="18">
      <c r="A18" t="s">
        <v>487</v>
      </c>
      <c r="B18" t="s">
        <v>521</v>
      </c>
      <c r="C18" t="s">
        <v>522</v>
      </c>
    </row>
    <row r="19">
      <c r="A19" t="s">
        <v>490</v>
      </c>
      <c r="B19" t="s">
        <v>523</v>
      </c>
      <c r="C19" t="s">
        <v>524</v>
      </c>
    </row>
    <row r="20">
      <c r="A20" t="s">
        <v>141</v>
      </c>
      <c r="B20" t="s">
        <v>372</v>
      </c>
      <c r="C20" t="s">
        <v>525</v>
      </c>
    </row>
    <row r="21">
      <c r="A21" t="s">
        <v>477</v>
      </c>
      <c r="B21" t="s">
        <v>526</v>
      </c>
      <c r="C21" t="s">
        <v>527</v>
      </c>
    </row>
    <row r="22">
      <c r="A22" t="s">
        <v>480</v>
      </c>
      <c r="B22" t="s">
        <v>528</v>
      </c>
      <c r="C22" t="s">
        <v>529</v>
      </c>
    </row>
    <row r="23">
      <c r="A23" t="s">
        <v>368</v>
      </c>
      <c r="B23" t="s">
        <v>530</v>
      </c>
      <c r="C23" t="s">
        <v>531</v>
      </c>
    </row>
    <row r="24">
      <c r="A24" t="s">
        <v>484</v>
      </c>
      <c r="B24" t="s">
        <v>532</v>
      </c>
      <c r="C24" t="s">
        <v>533</v>
      </c>
    </row>
    <row r="25">
      <c r="A25" t="s">
        <v>374</v>
      </c>
      <c r="B25" t="s">
        <v>534</v>
      </c>
      <c r="C25" t="s">
        <v>535</v>
      </c>
    </row>
    <row r="26">
      <c r="A26" t="s">
        <v>379</v>
      </c>
      <c r="B26" t="s">
        <v>380</v>
      </c>
      <c r="C26" t="s">
        <v>536</v>
      </c>
    </row>
    <row r="27">
      <c r="A27" t="s">
        <v>382</v>
      </c>
      <c r="B27" t="s">
        <v>383</v>
      </c>
      <c r="C27" t="s">
        <v>537</v>
      </c>
    </row>
    <row r="28">
      <c r="A28" t="s">
        <v>376</v>
      </c>
      <c r="B28" t="s">
        <v>377</v>
      </c>
      <c r="C28" t="s">
        <v>538</v>
      </c>
    </row>
    <row r="29">
      <c r="A29" t="s">
        <v>385</v>
      </c>
      <c r="B29" t="s">
        <v>539</v>
      </c>
      <c r="C29" t="s">
        <v>540</v>
      </c>
    </row>
    <row r="30">
      <c r="A30" t="s">
        <v>388</v>
      </c>
      <c r="B30" t="s">
        <v>389</v>
      </c>
      <c r="C30" t="s">
        <v>541</v>
      </c>
    </row>
    <row r="31">
      <c r="A31" t="s">
        <v>391</v>
      </c>
      <c r="B31" t="s">
        <v>542</v>
      </c>
      <c r="C31" t="s">
        <v>543</v>
      </c>
    </row>
    <row r="32">
      <c r="A32" t="s">
        <v>339</v>
      </c>
      <c r="B32" t="s">
        <v>544</v>
      </c>
      <c r="C32" t="s">
        <v>545</v>
      </c>
    </row>
    <row r="33">
      <c r="A33" t="s">
        <v>342</v>
      </c>
      <c r="B33" t="s">
        <v>546</v>
      </c>
      <c r="C33" t="s">
        <v>547</v>
      </c>
    </row>
    <row r="34">
      <c r="A34" t="s">
        <v>345</v>
      </c>
      <c r="B34" t="s">
        <v>548</v>
      </c>
      <c r="C34" t="s">
        <v>549</v>
      </c>
    </row>
    <row r="35">
      <c r="A35" t="s">
        <v>349</v>
      </c>
      <c r="B35" t="s">
        <v>348</v>
      </c>
      <c r="C35" t="s">
        <v>550</v>
      </c>
    </row>
    <row r="36">
      <c r="A36" t="s">
        <v>395</v>
      </c>
      <c r="B36" t="s">
        <v>551</v>
      </c>
      <c r="C36" t="s">
        <v>552</v>
      </c>
    </row>
    <row r="37">
      <c r="A37" t="s">
        <v>402</v>
      </c>
      <c r="B37" t="s">
        <v>403</v>
      </c>
      <c r="C37" t="s">
        <v>553</v>
      </c>
    </row>
    <row r="38">
      <c r="A38" t="s">
        <v>459</v>
      </c>
      <c r="B38" t="s">
        <v>554</v>
      </c>
      <c r="C38" t="s">
        <v>555</v>
      </c>
    </row>
    <row r="39">
      <c r="A39" t="s">
        <v>414</v>
      </c>
      <c r="B39" t="s">
        <v>556</v>
      </c>
      <c r="C39" t="s">
        <v>557</v>
      </c>
    </row>
    <row r="40">
      <c r="A40" t="s">
        <v>192</v>
      </c>
      <c r="B40" t="s">
        <v>419</v>
      </c>
      <c r="C40" t="s">
        <v>558</v>
      </c>
    </row>
    <row r="41">
      <c r="A41" t="s">
        <v>421</v>
      </c>
      <c r="B41" t="s">
        <v>422</v>
      </c>
      <c r="C41" t="s">
        <v>559</v>
      </c>
    </row>
    <row r="42">
      <c r="A42" t="s">
        <v>424</v>
      </c>
      <c r="B42" t="s">
        <v>560</v>
      </c>
      <c r="C42" t="s">
        <v>561</v>
      </c>
    </row>
    <row r="43">
      <c r="A43" t="s">
        <v>430</v>
      </c>
      <c r="B43" t="s">
        <v>431</v>
      </c>
      <c r="C43" t="s">
        <v>562</v>
      </c>
    </row>
    <row r="44">
      <c r="A44" t="s">
        <v>434</v>
      </c>
      <c r="B44" t="s">
        <v>563</v>
      </c>
      <c r="C44" t="s">
        <v>564</v>
      </c>
    </row>
    <row r="45">
      <c r="A45" t="s">
        <v>464</v>
      </c>
      <c r="B45" t="s">
        <v>565</v>
      </c>
      <c r="C45" t="s">
        <v>566</v>
      </c>
    </row>
    <row r="46">
      <c r="A46" t="s">
        <v>446</v>
      </c>
      <c r="B46" t="s">
        <v>447</v>
      </c>
      <c r="C46" t="s">
        <v>567</v>
      </c>
    </row>
    <row r="47">
      <c r="A47" t="s">
        <v>449</v>
      </c>
      <c r="B47" t="s">
        <v>568</v>
      </c>
      <c r="C47" t="s">
        <v>569</v>
      </c>
    </row>
    <row r="48">
      <c r="A48" t="s">
        <v>455</v>
      </c>
      <c r="B48" t="s">
        <v>570</v>
      </c>
      <c r="C48" t="s">
        <v>571</v>
      </c>
    </row>
    <row r="49">
      <c r="A49" t="s">
        <v>572</v>
      </c>
      <c r="B49" t="s">
        <v>573</v>
      </c>
      <c r="C49" t="s">
        <v>574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575</v>
      </c>
    </row>
    <row r="2">
      <c r="A2" t="s">
        <v>321</v>
      </c>
      <c r="B2" t="s">
        <v>323</v>
      </c>
      <c r="C2" t="s">
        <v>325</v>
      </c>
      <c r="D2" t="s">
        <v>576</v>
      </c>
      <c r="E2" t="s">
        <v>577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IFERROR(INDEX('1_Source_IndustryOutput'!$B$2:$B$72, MATCH($A3, '1_Source_IndustryOutput'!$A$2:$A$72,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IFERROR(INDEX('1_Source_IndustryOutput'!$B$2:$B$72, MATCH($A4, '1_Source_IndustryOutput'!$A$2:$A$72,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IFERROR(INDEX('1_Source_IndustryOutput'!$B$2:$B$72, MATCH($A5, '1_Source_IndustryOutput'!$A$2:$A$72,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IFERROR(INDEX('1_Source_IndustryOutput'!$B$2:$B$72, MATCH($A6, '1_Source_IndustryOutput'!$A$2:$A$72,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IFERROR(INDEX('1_Source_IndustryOutput'!$B$2:$B$72, MATCH($A7, '1_Source_IndustryOutput'!$A$2:$A$72,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IFERROR(INDEX('1_Source_IndustryOutput'!$B$2:$B$72, MATCH($A8, '1_Source_IndustryOutput'!$A$2:$A$72,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IFERROR(INDEX('1_Source_IndustryOutput'!$B$2:$B$72, MATCH($A9, '1_Source_IndustryOutput'!$A$2:$A$72,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IFERROR(INDEX('1_Source_IndustryOutput'!$B$2:$B$72, MATCH($A10, '1_Source_IndustryOutput'!$A$2:$A$72,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IFERROR(INDEX('1_Source_IndustryOutput'!$B$2:$B$72, MATCH($A11, '1_Source_IndustryOutput'!$A$2:$A$72,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IFERROR(INDEX('1_Source_IndustryOutput'!$B$2:$B$72, MATCH($A12, '1_Source_IndustryOutput'!$A$2:$A$72,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IFERROR(INDEX('1_Source_IndustryOutput'!$B$2:$B$72, MATCH($A13, '1_Source_IndustryOutput'!$A$2:$A$72,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IFERROR(INDEX('1_Source_IndustryOutput'!$B$2:$B$72, MATCH($A14, '1_Source_IndustryOutput'!$A$2:$A$72,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IFERROR(INDEX('1_Source_IndustryOutput'!$B$2:$B$72, MATCH($A15, '1_Source_IndustryOutput'!$A$2:$A$72,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IFERROR(INDEX('1_Source_IndustryOutput'!$B$2:$B$72, MATCH($A16, '1_Source_IndustryOutput'!$A$2:$A$72,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IFERROR(INDEX('1_Source_IndustryOutput'!$B$2:$B$72, MATCH($A17, '1_Source_IndustryOutput'!$A$2:$A$72,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IFERROR(INDEX('1_Source_IndustryOutput'!$B$2:$B$72, MATCH($A18, '1_Source_IndustryOutput'!$A$2:$A$72,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IFERROR(INDEX('1_Source_IndustryOutput'!$B$2:$B$72, MATCH($A19, '1_Source_IndustryOutput'!$A$2:$A$72,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IFERROR(INDEX('1_Source_IndustryOutput'!$B$2:$B$72, MATCH($A20, '1_Source_IndustryOutput'!$A$2:$A$72,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IFERROR(INDEX('1_Source_IndustryOutput'!$B$2:$B$72, MATCH($A21, '1_Source_IndustryOutput'!$A$2:$A$72,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IFERROR(INDEX('1_Source_IndustryOutput'!$B$2:$B$72, MATCH($A22, '1_Source_IndustryOutput'!$A$2:$A$72,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IFERROR(INDEX('1_Source_IndustryOutput'!$B$2:$B$72, MATCH($A23, '1_Source_IndustryOutput'!$A$2:$A$72,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IFERROR(INDEX('1_Source_IndustryOutput'!$B$2:$B$72, MATCH($A24, '1_Source_IndustryOutput'!$A$2:$A$72,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IFERROR(INDEX('1_Source_IndustryOutput'!$B$2:$B$72, MATCH($A25, '1_Source_IndustryOutput'!$A$2:$A$72,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IFERROR(INDEX('1_Source_IndustryOutput'!$B$2:$B$72, MATCH($A26, '1_Source_IndustryOutput'!$A$2:$A$72,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IFERROR(INDEX('1_Source_IndustryOutput'!$B$2:$B$72, MATCH($A27, '1_Source_IndustryOutput'!$A$2:$A$72,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IFERROR(INDEX('1_Source_IndustryOutput'!$B$2:$B$72, MATCH($A28, '1_Source_IndustryOutput'!$A$2:$A$72,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IFERROR(INDEX('1_Source_IndustryOutput'!$B$2:$B$72, MATCH($A29, '1_Source_IndustryOutput'!$A$2:$A$72,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IFERROR(INDEX('1_Source_IndustryOutput'!$B$2:$B$72, MATCH($A30, '1_Source_IndustryOutput'!$A$2:$A$72,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IFERROR(INDEX('1_Source_IndustryOutput'!$B$2:$B$72, MATCH($A31, '1_Source_IndustryOutput'!$A$2:$A$72,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IFERROR(INDEX('1_Source_IndustryOutput'!$B$2:$B$72, MATCH($A32, '1_Source_IndustryOutput'!$A$2:$A$72,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IFERROR(INDEX('1_Source_IndustryOutput'!$B$2:$B$72, MATCH($A33, '1_Source_IndustryOutput'!$A$2:$A$72,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IFERROR(INDEX('1_Source_IndustryOutput'!$B$2:$B$72, MATCH($A34, '1_Source_IndustryOutput'!$A$2:$A$72,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IFERROR(INDEX('1_Source_IndustryOutput'!$B$2:$B$72, MATCH($A35, '1_Source_IndustryOutput'!$A$2:$A$72,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IFERROR(INDEX('1_Source_IndustryOutput'!$B$2:$B$72, MATCH($A36, '1_Source_IndustryOutput'!$A$2:$A$72,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IFERROR(INDEX('1_Source_IndustryOutput'!$B$2:$B$72, MATCH($A37, '1_Source_IndustryOutput'!$A$2:$A$72,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IFERROR(INDEX('1_Source_IndustryOutput'!$B$2:$B$72, MATCH($A38, '1_Source_IndustryOutput'!$A$2:$A$72,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IFERROR(INDEX('1_Source_IndustryOutput'!$B$2:$B$72, MATCH($A39, '1_Source_IndustryOutput'!$A$2:$A$72,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IFERROR(INDEX('1_Source_IndustryOutput'!$B$2:$B$72, MATCH($A40, '1_Source_IndustryOutput'!$A$2:$A$72,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IFERROR(INDEX('1_Source_IndustryOutput'!$B$2:$B$72, MATCH($A41, '1_Source_IndustryOutput'!$A$2:$A$72,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IFERROR(INDEX('1_Source_IndustryOutput'!$B$2:$B$72, MATCH($A42, '1_Source_IndustryOutput'!$A$2:$A$72,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IFERROR(INDEX('1_Source_IndustryOutput'!$B$2:$B$72, MATCH($A43, '1_Source_IndustryOutput'!$A$2:$A$72,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IFERROR(INDEX('1_Source_IndustryOutput'!$B$2:$B$72, MATCH($A44, '1_Source_IndustryOutput'!$A$2:$A$72,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IFERROR(INDEX('1_Source_IndustryOutput'!$B$2:$B$72, MATCH($A45, '1_Source_IndustryOutput'!$A$2:$A$72,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IFERROR(INDEX('1_Source_IndustryOutput'!$B$2:$B$72, MATCH($A46, '1_Source_IndustryOutput'!$A$2:$A$72,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IFERROR(INDEX('1_Source_IndustryOutput'!$B$2:$B$72, MATCH($A47, '1_Source_IndustryOutput'!$A$2:$A$72,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IFERROR(INDEX('1_Source_IndustryOutput'!$B$2:$B$72, MATCH($A48, '1_Source_IndustryOutput'!$A$2:$A$72,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IFERROR(INDEX('1_Source_IndustryOutput'!$B$2:$B$72, MATCH($A49, '1_Source_IndustryOutput'!$A$2:$A$72,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IFERROR(INDEX('1_Source_IndustryOutput'!$B$2:$B$72, MATCH($A50, '1_Source_IndustryOutput'!$A$2:$A$72,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IFERROR(INDEX('1_Source_IndustryOutput'!$B$2:$B$72, MATCH($A51, '1_Source_IndustryOutput'!$A$2:$A$72,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IFERROR(INDEX('1_Source_IndustryOutput'!$B$2:$B$72, MATCH($A52, '1_Source_IndustryOutput'!$A$2:$A$72,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IFERROR(INDEX('1_Source_IndustryOutput'!$B$2:$B$72, MATCH($A53, '1_Source_IndustryOutput'!$A$2:$A$72,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IFERROR(INDEX('1_Source_IndustryOutput'!$B$2:$B$72, MATCH($A54, '1_Source_IndustryOutput'!$A$2:$A$72,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IFERROR(INDEX('1_Source_IndustryOutput'!$B$2:$B$72, MATCH($A55, '1_Source_IndustryOutput'!$A$2:$A$72,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IFERROR(INDEX('1_Source_IndustryOutput'!$B$2:$B$72, MATCH($A56, '1_Source_IndustryOutput'!$A$2:$A$72,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IFERROR(INDEX('1_Source_IndustryOutput'!$B$2:$B$72, MATCH($A57, '1_Source_IndustryOutput'!$A$2:$A$72,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IFERROR(INDEX('1_Source_IndustryOutput'!$B$2:$B$72, MATCH($A58, '1_Source_IndustryOutput'!$A$2:$A$72,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IFERROR(INDEX('1_Source_IndustryOutput'!$B$2:$B$72, MATCH($A59, '1_Source_IndustryOutput'!$A$2:$A$72,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IFERROR(INDEX('1_Source_IndustryOutput'!$B$2:$B$72, MATCH($A60, '1_Source_IndustryOutput'!$A$2:$A$72,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IFERROR(INDEX('1_Source_IndustryOutput'!$B$2:$B$72, MATCH($A61, '1_Source_IndustryOutput'!$A$2:$A$72,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IFERROR(INDEX('1_Source_IndustryOutput'!$B$2:$B$72, MATCH($A62, '1_Source_IndustryOutput'!$A$2:$A$72,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IFERROR(INDEX('1_Source_IndustryOutput'!$B$2:$B$72, MATCH($A63, '1_Source_IndustryOutput'!$A$2:$A$72,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IFERROR(INDEX('1_Source_IndustryOutput'!$B$2:$B$72, MATCH($A64, '1_Source_IndustryOutput'!$A$2:$A$72,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IFERROR(INDEX('1_Source_IndustryOutput'!$B$2:$B$72, MATCH($A65, '1_Source_IndustryOutput'!$A$2:$A$72,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IFERROR(INDEX('1_Source_IndustryOutput'!$B$2:$B$72, MATCH($A66, '1_Source_IndustryOutput'!$A$2:$A$72,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IFERROR(INDEX('1_Source_IndustryOutput'!$B$2:$B$72, MATCH($A67, '1_Source_IndustryOutput'!$A$2:$A$72,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IFERROR(INDEX('1_Source_IndustryOutput'!$B$2:$B$72, MATCH($A68, '1_Source_IndustryOutput'!$A$2:$A$72,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IFERROR(INDEX('1_Source_IndustryOutput'!$B$2:$B$72, MATCH($A69, '1_Source_IndustryOutput'!$A$2:$A$72,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IFERROR(INDEX('1_Source_IndustryOutput'!$B$2:$B$72, MATCH($A70, '1_Source_IndustryOutput'!$A$2:$A$72,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IFERROR(INDEX('1_Source_IndustryOutput'!$B$2:$B$72, MATCH($A71, '1_Source_IndustryOutput'!$A$2:$A$72,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IFERROR(INDEX('1_Source_IndustryOutput'!$B$2:$B$72, MATCH($A72, '1_Source_IndustryOutput'!$A$2:$A$72,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IFERROR(INDEX('1_Source_IndustryOutput'!$B$2:$B$72, MATCH($A73, '1_Source_IndustryOutput'!$A$2:$A$72,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IFERROR(INDEX('1_Source_IndustryOutput'!$B$2:$B$72, MATCH($A74, '1_Source_IndustryOutput'!$A$2:$A$72,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IFERROR(INDEX('1_Source_IndustryOutput'!$B$2:$B$72, MATCH($A75, '1_Source_IndustryOutput'!$A$2:$A$72,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IFERROR(INDEX('1_Source_IndustryOutput'!$B$2:$B$72, MATCH($A76, '1_Source_IndustryOutput'!$A$2:$A$72,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IFERROR(INDEX('1_Source_IndustryOutput'!$B$2:$B$72, MATCH($A77, '1_Source_IndustryOutput'!$A$2:$A$72,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IFERROR(INDEX('1_Source_IndustryOutput'!$B$2:$B$72, MATCH($A78, '1_Source_IndustryOutput'!$A$2:$A$72,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IFERROR(INDEX('1_Source_IndustryOutput'!$B$2:$B$72, MATCH($A79, '1_Source_IndustryOutput'!$A$2:$A$72,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IFERROR(INDEX('1_Source_IndustryOutput'!$B$2:$B$72, MATCH($A80, '1_Source_IndustryOutput'!$A$2:$A$72,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IFERROR(INDEX('1_Source_IndustryOutput'!$B$2:$B$72, MATCH($A81, '1_Source_IndustryOutput'!$A$2:$A$72, 0)), 0)</f>
      </c>
      <c r="E81" t="str">
        <f>C81*D81</f>
      </c>
    </row>
    <row r="83">
      <c r="A83" t="s">
        <v>578</v>
      </c>
    </row>
    <row r="84">
      <c r="A84" t="s">
        <v>323</v>
      </c>
      <c r="B84" t="s">
        <v>579</v>
      </c>
      <c r="C84" t="s">
        <v>580</v>
      </c>
    </row>
    <row r="85">
      <c r="A85" t="s">
        <v>329</v>
      </c>
      <c r="B85" t="str">
        <f>SUMIFS('5_Calc_ISIC_aggregation'!$E$3:$E$81, '5_Calc_ISIC_aggregation'!$B$3:$B$81, $A85)</f>
      </c>
      <c r="C85" t="str">
        <f>B85/Keys!$C$2</f>
      </c>
    </row>
    <row r="86">
      <c r="A86" t="s">
        <v>471</v>
      </c>
      <c r="B86" t="str">
        <f>SUMIFS('5_Calc_ISIC_aggregation'!$E$3:$E$81, '5_Calc_ISIC_aggregation'!$B$3:$B$81, $A86)</f>
      </c>
      <c r="C86" t="str">
        <f>B86/Keys!$C$2</f>
      </c>
    </row>
    <row r="87">
      <c r="A87" t="s">
        <v>333</v>
      </c>
      <c r="B87" t="str">
        <f>SUMIFS('5_Calc_ISIC_aggregation'!$E$3:$E$81, '5_Calc_ISIC_aggregation'!$B$3:$B$81, $A87)</f>
      </c>
      <c r="C87" t="str">
        <f>B87/Keys!$C$2</f>
      </c>
    </row>
    <row r="88">
      <c r="A88" t="s">
        <v>474</v>
      </c>
      <c r="B88" t="str">
        <f>SUMIFS('5_Calc_ISIC_aggregation'!$E$3:$E$81, '5_Calc_ISIC_aggregation'!$B$3:$B$81, $A88)</f>
      </c>
      <c r="C88" t="str">
        <f>B88/Keys!$C$2</f>
      </c>
    </row>
    <row r="89">
      <c r="A89" t="s">
        <v>336</v>
      </c>
      <c r="B89" t="str">
        <f>SUMIFS('5_Calc_ISIC_aggregation'!$E$3:$E$81, '5_Calc_ISIC_aggregation'!$B$3:$B$81, $A89)</f>
      </c>
      <c r="C89" t="str">
        <f>B89/Keys!$C$2</f>
      </c>
    </row>
    <row r="90">
      <c r="A90" t="s">
        <v>351</v>
      </c>
      <c r="B90" t="str">
        <f>SUMIFS('5_Calc_ISIC_aggregation'!$E$3:$E$81, '5_Calc_ISIC_aggregation'!$B$3:$B$81, $A90)</f>
      </c>
      <c r="C90" t="str">
        <f>B90/Keys!$C$2</f>
      </c>
    </row>
    <row r="91">
      <c r="A91" t="s">
        <v>354</v>
      </c>
      <c r="B91" t="str">
        <f>SUMIFS('5_Calc_ISIC_aggregation'!$E$3:$E$81, '5_Calc_ISIC_aggregation'!$B$3:$B$81, $A91)</f>
      </c>
      <c r="C91" t="str">
        <f>B91/Keys!$C$2</f>
      </c>
    </row>
    <row r="92">
      <c r="A92" t="s">
        <v>358</v>
      </c>
      <c r="B92" t="str">
        <f>SUMIFS('5_Calc_ISIC_aggregation'!$E$3:$E$81, '5_Calc_ISIC_aggregation'!$B$3:$B$81, $A92)</f>
      </c>
      <c r="C92" t="str">
        <f>B92/Keys!$C$2</f>
      </c>
    </row>
    <row r="93">
      <c r="A93" t="s">
        <v>361</v>
      </c>
      <c r="B93" t="str">
        <f>SUMIFS('5_Calc_ISIC_aggregation'!$E$3:$E$81, '5_Calc_ISIC_aggregation'!$B$3:$B$81, $A93)</f>
      </c>
      <c r="C93" t="str">
        <f>B93/Keys!$C$2</f>
      </c>
    </row>
    <row r="94">
      <c r="A94" t="s">
        <v>365</v>
      </c>
      <c r="B94" t="str">
        <f>SUMIFS('5_Calc_ISIC_aggregation'!$E$3:$E$81, '5_Calc_ISIC_aggregation'!$B$3:$B$81, $A94)</f>
      </c>
      <c r="C94" t="str">
        <f>B94/Keys!$C$2</f>
      </c>
    </row>
    <row r="95">
      <c r="A95" t="s">
        <v>487</v>
      </c>
      <c r="B95" t="str">
        <f>SUMIFS('5_Calc_ISIC_aggregation'!$E$3:$E$81, '5_Calc_ISIC_aggregation'!$B$3:$B$81, $A95)</f>
      </c>
      <c r="C95" t="str">
        <f>B95/Keys!$C$2</f>
      </c>
    </row>
    <row r="96">
      <c r="A96" t="s">
        <v>490</v>
      </c>
      <c r="B96" t="str">
        <f>SUMIFS('5_Calc_ISIC_aggregation'!$E$3:$E$81, '5_Calc_ISIC_aggregation'!$B$3:$B$81, $A96)</f>
      </c>
      <c r="C96" t="str">
        <f>B96/Keys!$C$2</f>
      </c>
    </row>
    <row r="97">
      <c r="A97" t="s">
        <v>141</v>
      </c>
      <c r="B97" t="str">
        <f>SUMIFS('5_Calc_ISIC_aggregation'!$E$3:$E$81, '5_Calc_ISIC_aggregation'!$B$3:$B$81, $A97)</f>
      </c>
      <c r="C97" t="str">
        <f>B97/Keys!$C$2</f>
      </c>
    </row>
    <row r="98">
      <c r="A98" t="s">
        <v>477</v>
      </c>
      <c r="B98" t="str">
        <f>SUMIFS('5_Calc_ISIC_aggregation'!$E$3:$E$81, '5_Calc_ISIC_aggregation'!$B$3:$B$81, $A98)</f>
      </c>
      <c r="C98" t="str">
        <f>B98/Keys!$C$2</f>
      </c>
    </row>
    <row r="99">
      <c r="A99" t="s">
        <v>480</v>
      </c>
      <c r="B99" t="str">
        <f>SUMIFS('5_Calc_ISIC_aggregation'!$E$3:$E$81, '5_Calc_ISIC_aggregation'!$B$3:$B$81, $A99)</f>
      </c>
      <c r="C99" t="str">
        <f>B99/Keys!$C$2</f>
      </c>
    </row>
    <row r="100">
      <c r="A100" t="s">
        <v>368</v>
      </c>
      <c r="B100" t="str">
        <f>SUMIFS('5_Calc_ISIC_aggregation'!$E$3:$E$81, '5_Calc_ISIC_aggregation'!$B$3:$B$81, $A100)</f>
      </c>
      <c r="C100" t="str">
        <f>B100/Keys!$C$2</f>
      </c>
    </row>
    <row r="101">
      <c r="A101" t="s">
        <v>484</v>
      </c>
      <c r="B101" t="str">
        <f>SUMIFS('5_Calc_ISIC_aggregation'!$E$3:$E$81, '5_Calc_ISIC_aggregation'!$B$3:$B$81, $A101)</f>
      </c>
      <c r="C101" t="str">
        <f>B101/Keys!$C$2</f>
      </c>
    </row>
    <row r="102">
      <c r="A102" t="s">
        <v>374</v>
      </c>
      <c r="B102" t="str">
        <f>SUMIFS('5_Calc_ISIC_aggregation'!$E$3:$E$81, '5_Calc_ISIC_aggregation'!$B$3:$B$81, $A102)</f>
      </c>
      <c r="C102" t="str">
        <f>B102/Keys!$C$2</f>
      </c>
    </row>
    <row r="103">
      <c r="A103" t="s">
        <v>379</v>
      </c>
      <c r="B103" t="str">
        <f>SUMIFS('5_Calc_ISIC_aggregation'!$E$3:$E$81, '5_Calc_ISIC_aggregation'!$B$3:$B$81, $A103)</f>
      </c>
      <c r="C103" t="str">
        <f>B103/Keys!$C$2</f>
      </c>
    </row>
    <row r="104">
      <c r="A104" t="s">
        <v>382</v>
      </c>
      <c r="B104" t="str">
        <f>SUMIFS('5_Calc_ISIC_aggregation'!$E$3:$E$81, '5_Calc_ISIC_aggregation'!$B$3:$B$81, $A104)</f>
      </c>
      <c r="C104" t="str">
        <f>B104/Keys!$C$2</f>
      </c>
    </row>
    <row r="105">
      <c r="A105" t="s">
        <v>376</v>
      </c>
      <c r="B105" t="str">
        <f>SUMIFS('5_Calc_ISIC_aggregation'!$E$3:$E$81, '5_Calc_ISIC_aggregation'!$B$3:$B$81, $A105)</f>
      </c>
      <c r="C105" t="str">
        <f>B105/Keys!$C$2</f>
      </c>
    </row>
    <row r="106">
      <c r="A106" t="s">
        <v>385</v>
      </c>
      <c r="B106" t="str">
        <f>SUMIFS('5_Calc_ISIC_aggregation'!$E$3:$E$81, '5_Calc_ISIC_aggregation'!$B$3:$B$81, $A106)</f>
      </c>
      <c r="C106" t="str">
        <f>B106/Keys!$C$2</f>
      </c>
    </row>
    <row r="107">
      <c r="A107" t="s">
        <v>388</v>
      </c>
      <c r="B107" t="str">
        <f>SUMIFS('5_Calc_ISIC_aggregation'!$E$3:$E$81, '5_Calc_ISIC_aggregation'!$B$3:$B$81, $A107)</f>
      </c>
      <c r="C107" t="str">
        <f>B107/Keys!$C$2</f>
      </c>
    </row>
    <row r="108">
      <c r="A108" t="s">
        <v>391</v>
      </c>
      <c r="B108" t="str">
        <f>SUMIFS('5_Calc_ISIC_aggregation'!$E$3:$E$81, '5_Calc_ISIC_aggregation'!$B$3:$B$81, $A108)</f>
      </c>
      <c r="C108" t="str">
        <f>B108/Keys!$C$2</f>
      </c>
    </row>
    <row r="109">
      <c r="A109" t="s">
        <v>339</v>
      </c>
      <c r="B109" t="str">
        <f>SUMIFS('5_Calc_ISIC_aggregation'!$E$3:$E$81, '5_Calc_ISIC_aggregation'!$B$3:$B$81, $A109)</f>
      </c>
      <c r="C109" t="str">
        <f>B109/Keys!$C$2</f>
      </c>
    </row>
    <row r="110">
      <c r="A110" t="s">
        <v>342</v>
      </c>
      <c r="B110" t="str">
        <f>SUMIFS('5_Calc_ISIC_aggregation'!$E$3:$E$81, '5_Calc_ISIC_aggregation'!$B$3:$B$81, $A110)</f>
      </c>
      <c r="C110" t="str">
        <f>B110/Keys!$C$2</f>
      </c>
    </row>
    <row r="111">
      <c r="A111" t="s">
        <v>345</v>
      </c>
      <c r="B111" t="str">
        <f>SUMIFS('5_Calc_ISIC_aggregation'!$E$3:$E$81, '5_Calc_ISIC_aggregation'!$B$3:$B$81, $A111)</f>
      </c>
      <c r="C111" t="str">
        <f>B111/Keys!$C$2</f>
      </c>
    </row>
    <row r="112">
      <c r="A112" t="s">
        <v>349</v>
      </c>
      <c r="B112" t="str">
        <f>SUMIFS('5_Calc_ISIC_aggregation'!$E$3:$E$81, '5_Calc_ISIC_aggregation'!$B$3:$B$81, $A112)</f>
      </c>
      <c r="C112" t="str">
        <f>B112/Keys!$C$2</f>
      </c>
    </row>
    <row r="113">
      <c r="A113" t="s">
        <v>395</v>
      </c>
      <c r="B113" t="str">
        <f>SUMIFS('5_Calc_ISIC_aggregation'!$E$3:$E$81, '5_Calc_ISIC_aggregation'!$B$3:$B$81, $A113)</f>
      </c>
      <c r="C113" t="str">
        <f>B113/Keys!$C$2</f>
      </c>
    </row>
    <row r="114">
      <c r="A114" t="s">
        <v>402</v>
      </c>
      <c r="B114" t="str">
        <f>SUMIFS('5_Calc_ISIC_aggregation'!$E$3:$E$81, '5_Calc_ISIC_aggregation'!$B$3:$B$81, $A114)</f>
      </c>
      <c r="C114" t="str">
        <f>B114/Keys!$C$2</f>
      </c>
    </row>
    <row r="115">
      <c r="A115" t="s">
        <v>459</v>
      </c>
      <c r="B115" t="str">
        <f>SUMIFS('5_Calc_ISIC_aggregation'!$E$3:$E$81, '5_Calc_ISIC_aggregation'!$B$3:$B$81, $A115)</f>
      </c>
      <c r="C115" t="str">
        <f>B115/Keys!$C$2</f>
      </c>
    </row>
    <row r="116">
      <c r="A116" t="s">
        <v>414</v>
      </c>
      <c r="B116" t="str">
        <f>SUMIFS('5_Calc_ISIC_aggregation'!$E$3:$E$81, '5_Calc_ISIC_aggregation'!$B$3:$B$81, $A116)</f>
      </c>
      <c r="C116" t="str">
        <f>B116/Keys!$C$2</f>
      </c>
    </row>
    <row r="117">
      <c r="A117" t="s">
        <v>192</v>
      </c>
      <c r="B117" t="str">
        <f>SUMIFS('5_Calc_ISIC_aggregation'!$E$3:$E$81, '5_Calc_ISIC_aggregation'!$B$3:$B$81, $A117)</f>
      </c>
      <c r="C117" t="str">
        <f>B117/Keys!$C$2</f>
      </c>
    </row>
    <row r="118">
      <c r="A118" t="s">
        <v>421</v>
      </c>
      <c r="B118" t="str">
        <f>SUMIFS('5_Calc_ISIC_aggregation'!$E$3:$E$81, '5_Calc_ISIC_aggregation'!$B$3:$B$81, $A118)</f>
      </c>
      <c r="C118" t="str">
        <f>B118/Keys!$C$2</f>
      </c>
    </row>
    <row r="119">
      <c r="A119" t="s">
        <v>424</v>
      </c>
      <c r="B119" t="str">
        <f>SUMIFS('5_Calc_ISIC_aggregation'!$E$3:$E$81, '5_Calc_ISIC_aggregation'!$B$3:$B$81, $A119)</f>
      </c>
      <c r="C119" t="str">
        <f>B119/Keys!$C$2</f>
      </c>
    </row>
    <row r="120">
      <c r="A120" t="s">
        <v>430</v>
      </c>
      <c r="B120" t="str">
        <f>SUMIFS('5_Calc_ISIC_aggregation'!$E$3:$E$81, '5_Calc_ISIC_aggregation'!$B$3:$B$81, $A120)</f>
      </c>
      <c r="C120" t="str">
        <f>B120/Keys!$C$2</f>
      </c>
    </row>
    <row r="121">
      <c r="A121" t="s">
        <v>434</v>
      </c>
      <c r="B121" t="str">
        <f>SUMIFS('5_Calc_ISIC_aggregation'!$E$3:$E$81, '5_Calc_ISIC_aggregation'!$B$3:$B$81, $A121)</f>
      </c>
      <c r="C121" t="str">
        <f>B121/Keys!$C$2</f>
      </c>
    </row>
    <row r="122">
      <c r="A122" t="s">
        <v>464</v>
      </c>
      <c r="B122" t="str">
        <f>SUMIFS('5_Calc_ISIC_aggregation'!$E$3:$E$81, '5_Calc_ISIC_aggregation'!$B$3:$B$81, $A122)</f>
      </c>
      <c r="C122" t="str">
        <f>B122/Keys!$C$2</f>
      </c>
    </row>
    <row r="123">
      <c r="A123" t="s">
        <v>446</v>
      </c>
      <c r="B123" t="str">
        <f>SUMIFS('5_Calc_ISIC_aggregation'!$E$3:$E$81, '5_Calc_ISIC_aggregation'!$B$3:$B$81, $A123)</f>
      </c>
      <c r="C123" t="str">
        <f>B123/Keys!$C$2</f>
      </c>
    </row>
    <row r="124">
      <c r="A124" t="s">
        <v>449</v>
      </c>
      <c r="B124" t="str">
        <f>SUMIFS('5_Calc_ISIC_aggregation'!$E$3:$E$81, '5_Calc_ISIC_aggregation'!$B$3:$B$81, $A124)</f>
      </c>
      <c r="C124" t="str">
        <f>B124/Keys!$C$2</f>
      </c>
    </row>
    <row r="125">
      <c r="A125" t="s">
        <v>455</v>
      </c>
      <c r="B125" t="str">
        <f>SUMIFS('5_Calc_ISIC_aggregation'!$E$3:$E$81, '5_Calc_ISIC_aggregation'!$B$3:$B$81, $A125)</f>
      </c>
      <c r="C125" t="str">
        <f>B125/Keys!$C$2</f>
      </c>
    </row>
    <row r="126">
      <c r="A126" t="s">
        <v>572</v>
      </c>
      <c r="B126" t="str">
        <f>SUMIFS('5_Calc_ISIC_aggregation'!$E$3:$E$81, '5_Calc_ISIC_aggregation'!$B$3:$B$81, $A126)</f>
      </c>
      <c r="C126" t="str">
        <f>B126/Keys!$C$2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581</v>
      </c>
      <c r="B1" t="s">
        <v>329</v>
      </c>
      <c r="C1" t="s">
        <v>471</v>
      </c>
      <c r="D1" t="s">
        <v>333</v>
      </c>
      <c r="E1" t="s">
        <v>474</v>
      </c>
      <c r="F1" t="s">
        <v>336</v>
      </c>
      <c r="G1" t="s">
        <v>351</v>
      </c>
      <c r="H1" t="s">
        <v>354</v>
      </c>
      <c r="I1" t="s">
        <v>358</v>
      </c>
      <c r="J1" t="s">
        <v>361</v>
      </c>
      <c r="K1" t="s">
        <v>365</v>
      </c>
      <c r="L1" t="s">
        <v>487</v>
      </c>
      <c r="M1" t="s">
        <v>490</v>
      </c>
      <c r="N1" t="s">
        <v>141</v>
      </c>
      <c r="O1" t="s">
        <v>477</v>
      </c>
      <c r="P1" t="s">
        <v>480</v>
      </c>
      <c r="Q1" t="s">
        <v>368</v>
      </c>
      <c r="R1" t="s">
        <v>484</v>
      </c>
      <c r="S1" t="s">
        <v>374</v>
      </c>
      <c r="T1" t="s">
        <v>379</v>
      </c>
      <c r="U1" t="s">
        <v>382</v>
      </c>
      <c r="V1" t="s">
        <v>376</v>
      </c>
      <c r="W1" t="s">
        <v>385</v>
      </c>
      <c r="X1" t="s">
        <v>388</v>
      </c>
      <c r="Y1" t="s">
        <v>391</v>
      </c>
      <c r="Z1" t="s">
        <v>339</v>
      </c>
      <c r="AA1" t="s">
        <v>342</v>
      </c>
      <c r="AB1" t="s">
        <v>345</v>
      </c>
      <c r="AC1" t="s">
        <v>349</v>
      </c>
      <c r="AD1" t="s">
        <v>395</v>
      </c>
      <c r="AE1" t="s">
        <v>402</v>
      </c>
      <c r="AF1" t="s">
        <v>459</v>
      </c>
      <c r="AG1" t="s">
        <v>414</v>
      </c>
      <c r="AH1" t="s">
        <v>192</v>
      </c>
      <c r="AI1" t="s">
        <v>421</v>
      </c>
      <c r="AJ1" t="s">
        <v>424</v>
      </c>
      <c r="AK1" t="s">
        <v>430</v>
      </c>
      <c r="AL1" t="s">
        <v>434</v>
      </c>
      <c r="AM1" t="s">
        <v>464</v>
      </c>
      <c r="AN1" t="s">
        <v>446</v>
      </c>
      <c r="AO1" t="s">
        <v>449</v>
      </c>
      <c r="AP1" t="s">
        <v>455</v>
      </c>
      <c r="AQ1" t="s">
        <v>572</v>
      </c>
    </row>
    <row r="2">
      <c r="A2" t="s">
        <v>582</v>
      </c>
      <c r="B2" t="str">
        <f>INDEX('5_Calc_ISIC_aggregation'!$C$85:$C$126, MATCH(B$1, '5_Calc_ISIC_aggregation'!$A$85:$A$126, 0))</f>
      </c>
      <c r="C2" t="str">
        <f>INDEX('5_Calc_ISIC_aggregation'!$C$85:$C$126, MATCH(C$1, '5_Calc_ISIC_aggregation'!$A$85:$A$126, 0))</f>
      </c>
      <c r="D2" t="str">
        <f>INDEX('5_Calc_ISIC_aggregation'!$C$85:$C$126, MATCH(D$1, '5_Calc_ISIC_aggregation'!$A$85:$A$126, 0))</f>
      </c>
      <c r="E2" t="str">
        <f>INDEX('5_Calc_ISIC_aggregation'!$C$85:$C$126, MATCH(E$1, '5_Calc_ISIC_aggregation'!$A$85:$A$126, 0))</f>
      </c>
      <c r="F2" t="str">
        <f>INDEX('5_Calc_ISIC_aggregation'!$C$85:$C$126, MATCH(F$1, '5_Calc_ISIC_aggregation'!$A$85:$A$126, 0))</f>
      </c>
      <c r="G2" t="str">
        <f>INDEX('5_Calc_ISIC_aggregation'!$C$85:$C$126, MATCH(G$1, '5_Calc_ISIC_aggregation'!$A$85:$A$126, 0))</f>
      </c>
      <c r="H2" t="str">
        <f>INDEX('5_Calc_ISIC_aggregation'!$C$85:$C$126, MATCH(H$1, '5_Calc_ISIC_aggregation'!$A$85:$A$126, 0))</f>
      </c>
      <c r="I2" t="str">
        <f>INDEX('5_Calc_ISIC_aggregation'!$C$85:$C$126, MATCH(I$1, '5_Calc_ISIC_aggregation'!$A$85:$A$126, 0))</f>
      </c>
      <c r="J2" t="str">
        <f>INDEX('5_Calc_ISIC_aggregation'!$C$85:$C$126, MATCH(J$1, '5_Calc_ISIC_aggregation'!$A$85:$A$126, 0))</f>
      </c>
      <c r="K2" t="str">
        <f>INDEX('5_Calc_ISIC_aggregation'!$C$85:$C$126, MATCH(K$1, '5_Calc_ISIC_aggregation'!$A$85:$A$126, 0))</f>
      </c>
      <c r="L2" t="str">
        <f>INDEX('5_Calc_ISIC_aggregation'!$C$85:$C$126, MATCH(L$1, '5_Calc_ISIC_aggregation'!$A$85:$A$126, 0))</f>
      </c>
      <c r="M2" t="str">
        <f>INDEX('5_Calc_ISIC_aggregation'!$C$85:$C$126, MATCH(M$1, '5_Calc_ISIC_aggregation'!$A$85:$A$126, 0))</f>
      </c>
      <c r="N2" t="str">
        <f>INDEX('5_Calc_ISIC_aggregation'!$C$85:$C$126, MATCH(N$1, '5_Calc_ISIC_aggregation'!$A$85:$A$126, 0))</f>
      </c>
      <c r="O2" t="str">
        <f>INDEX('5_Calc_ISIC_aggregation'!$C$85:$C$126, MATCH(O$1, '5_Calc_ISIC_aggregation'!$A$85:$A$126, 0))</f>
      </c>
      <c r="P2" t="str">
        <f>INDEX('5_Calc_ISIC_aggregation'!$C$85:$C$126, MATCH(P$1, '5_Calc_ISIC_aggregation'!$A$85:$A$126, 0))</f>
      </c>
      <c r="Q2" t="str">
        <f>INDEX('5_Calc_ISIC_aggregation'!$C$85:$C$126, MATCH(Q$1, '5_Calc_ISIC_aggregation'!$A$85:$A$126, 0))</f>
      </c>
      <c r="R2" t="str">
        <f>INDEX('5_Calc_ISIC_aggregation'!$C$85:$C$126, MATCH(R$1, '5_Calc_ISIC_aggregation'!$A$85:$A$126, 0))</f>
      </c>
      <c r="S2" t="str">
        <f>INDEX('5_Calc_ISIC_aggregation'!$C$85:$C$126, MATCH(S$1, '5_Calc_ISIC_aggregation'!$A$85:$A$126, 0))</f>
      </c>
      <c r="T2" t="str">
        <f>INDEX('5_Calc_ISIC_aggregation'!$C$85:$C$126, MATCH(T$1, '5_Calc_ISIC_aggregation'!$A$85:$A$126, 0))</f>
      </c>
      <c r="U2" t="str">
        <f>INDEX('5_Calc_ISIC_aggregation'!$C$85:$C$126, MATCH(U$1, '5_Calc_ISIC_aggregation'!$A$85:$A$126, 0))</f>
      </c>
      <c r="V2" t="str">
        <f>INDEX('5_Calc_ISIC_aggregation'!$C$85:$C$126, MATCH(V$1, '5_Calc_ISIC_aggregation'!$A$85:$A$126, 0))</f>
      </c>
      <c r="W2" t="str">
        <f>INDEX('5_Calc_ISIC_aggregation'!$C$85:$C$126, MATCH(W$1, '5_Calc_ISIC_aggregation'!$A$85:$A$126, 0))</f>
      </c>
      <c r="X2" t="str">
        <f>INDEX('5_Calc_ISIC_aggregation'!$C$85:$C$126, MATCH(X$1, '5_Calc_ISIC_aggregation'!$A$85:$A$126, 0))</f>
      </c>
      <c r="Y2" t="str">
        <f>INDEX('5_Calc_ISIC_aggregation'!$C$85:$C$126, MATCH(Y$1, '5_Calc_ISIC_aggregation'!$A$85:$A$126, 0))</f>
      </c>
      <c r="Z2" t="str">
        <f>INDEX('5_Calc_ISIC_aggregation'!$C$85:$C$126, MATCH(Z$1, '5_Calc_ISIC_aggregation'!$A$85:$A$126, 0))</f>
      </c>
      <c r="AA2" t="str">
        <f>INDEX('5_Calc_ISIC_aggregation'!$C$85:$C$126, MATCH(AA$1, '5_Calc_ISIC_aggregation'!$A$85:$A$126, 0))</f>
      </c>
      <c r="AB2" t="str">
        <f>INDEX('5_Calc_ISIC_aggregation'!$C$85:$C$126, MATCH(AB$1, '5_Calc_ISIC_aggregation'!$A$85:$A$126, 0))</f>
      </c>
      <c r="AC2" t="str">
        <f>INDEX('5_Calc_ISIC_aggregation'!$C$85:$C$126, MATCH(AC$1, '5_Calc_ISIC_aggregation'!$A$85:$A$126, 0))</f>
      </c>
      <c r="AD2" t="str">
        <f>INDEX('5_Calc_ISIC_aggregation'!$C$85:$C$126, MATCH(AD$1, '5_Calc_ISIC_aggregation'!$A$85:$A$126, 0))</f>
      </c>
      <c r="AE2" t="str">
        <f>INDEX('5_Calc_ISIC_aggregation'!$C$85:$C$126, MATCH(AE$1, '5_Calc_ISIC_aggregation'!$A$85:$A$126, 0))</f>
      </c>
      <c r="AF2" t="str">
        <f>INDEX('5_Calc_ISIC_aggregation'!$C$85:$C$126, MATCH(AF$1, '5_Calc_ISIC_aggregation'!$A$85:$A$126, 0))</f>
      </c>
      <c r="AG2" t="str">
        <f>INDEX('5_Calc_ISIC_aggregation'!$C$85:$C$126, MATCH(AG$1, '5_Calc_ISIC_aggregation'!$A$85:$A$126, 0))</f>
      </c>
      <c r="AH2" t="str">
        <f>INDEX('5_Calc_ISIC_aggregation'!$C$85:$C$126, MATCH(AH$1, '5_Calc_ISIC_aggregation'!$A$85:$A$126, 0))</f>
      </c>
      <c r="AI2" t="str">
        <f>INDEX('5_Calc_ISIC_aggregation'!$C$85:$C$126, MATCH(AI$1, '5_Calc_ISIC_aggregation'!$A$85:$A$126, 0))</f>
      </c>
      <c r="AJ2" t="str">
        <f>INDEX('5_Calc_ISIC_aggregation'!$C$85:$C$126, MATCH(AJ$1, '5_Calc_ISIC_aggregation'!$A$85:$A$126, 0))</f>
      </c>
      <c r="AK2" t="str">
        <f>INDEX('5_Calc_ISIC_aggregation'!$C$85:$C$126, MATCH(AK$1, '5_Calc_ISIC_aggregation'!$A$85:$A$126, 0))</f>
      </c>
      <c r="AL2" t="str">
        <f>INDEX('5_Calc_ISIC_aggregation'!$C$85:$C$126, MATCH(AL$1, '5_Calc_ISIC_aggregation'!$A$85:$A$126, 0))</f>
      </c>
      <c r="AM2" t="str">
        <f>INDEX('5_Calc_ISIC_aggregation'!$C$85:$C$126, MATCH(AM$1, '5_Calc_ISIC_aggregation'!$A$85:$A$126, 0))</f>
      </c>
      <c r="AN2" t="str">
        <f>INDEX('5_Calc_ISIC_aggregation'!$C$85:$C$126, MATCH(AN$1, '5_Calc_ISIC_aggregation'!$A$85:$A$126, 0))</f>
      </c>
      <c r="AO2" t="str">
        <f>INDEX('5_Calc_ISIC_aggregation'!$C$85:$C$126, MATCH(AO$1, '5_Calc_ISIC_aggregation'!$A$85:$A$126, 0))</f>
      </c>
      <c r="AP2" t="str">
        <f>INDEX('5_Calc_ISIC_aggregation'!$C$85:$C$126, MATCH(AP$1, '5_Calc_ISIC_aggregation'!$A$85:$A$126, 0))</f>
      </c>
      <c r="AQ2" t="str">
        <f>INDEX('5_Calc_ISIC_aggregation'!$C$85:$C$126, MATCH(AQ$1, '5_Calc_ISIC_aggregation'!$A$85:$A$126, 0))</f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2026-07-17T19:25:38Z</dcterms:created>
</coreProperties>
</file>