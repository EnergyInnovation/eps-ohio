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EB2668C3-E0DE-499D-841B-CBA6D2637222}"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X25" i="9"/>
  <c r="W25" i="9"/>
  <c r="V25" i="9"/>
  <c r="U25" i="9"/>
  <c r="T25" i="9"/>
  <c r="S25" i="9"/>
  <c r="R25" i="9"/>
  <c r="Q25" i="9"/>
  <c r="P25" i="9"/>
  <c r="O25" i="9"/>
  <c r="N25" i="9"/>
  <c r="M25" i="9"/>
  <c r="L25" i="9"/>
  <c r="K25" i="9"/>
  <c r="J25" i="9"/>
  <c r="I25" i="9"/>
  <c r="H25" i="9"/>
  <c r="G25" i="9"/>
  <c r="F25" i="9"/>
  <c r="F45" i="9" s="1"/>
  <c r="E25" i="9"/>
  <c r="D25" i="9"/>
  <c r="D45" i="9" s="1"/>
  <c r="C25" i="9"/>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P43" i="9" s="1"/>
  <c r="O23" i="9"/>
  <c r="O43" i="9" s="1"/>
  <c r="N23" i="9"/>
  <c r="M23" i="9"/>
  <c r="L23" i="9"/>
  <c r="K23" i="9"/>
  <c r="J23" i="9"/>
  <c r="I23" i="9"/>
  <c r="H23" i="9"/>
  <c r="G23" i="9"/>
  <c r="F23" i="9"/>
  <c r="E23" i="9"/>
  <c r="D23" i="9"/>
  <c r="C23" i="9"/>
  <c r="B23" i="9"/>
  <c r="AB22" i="9"/>
  <c r="AA22" i="9"/>
  <c r="Z22" i="9"/>
  <c r="Y22" i="9"/>
  <c r="X22" i="9"/>
  <c r="W22" i="9"/>
  <c r="V22" i="9"/>
  <c r="U22" i="9"/>
  <c r="U42" i="9" s="1"/>
  <c r="T22" i="9"/>
  <c r="T42" i="9" s="1"/>
  <c r="S22" i="9"/>
  <c r="R22" i="9"/>
  <c r="Q22" i="9"/>
  <c r="P22" i="9"/>
  <c r="O22" i="9"/>
  <c r="N22" i="9"/>
  <c r="M22" i="9"/>
  <c r="L22" i="9"/>
  <c r="K22" i="9"/>
  <c r="J22" i="9"/>
  <c r="I22" i="9"/>
  <c r="H22" i="9"/>
  <c r="G22" i="9"/>
  <c r="F22" i="9"/>
  <c r="E22" i="9"/>
  <c r="D22" i="9"/>
  <c r="C22" i="9"/>
  <c r="B22" i="9"/>
  <c r="AB21" i="9"/>
  <c r="AA21" i="9"/>
  <c r="Z21" i="9"/>
  <c r="Z41" i="9" s="1"/>
  <c r="Y21" i="9"/>
  <c r="Y41" i="9" s="1"/>
  <c r="X21" i="9"/>
  <c r="W21" i="9"/>
  <c r="V21" i="9"/>
  <c r="U21" i="9"/>
  <c r="T21" i="9"/>
  <c r="S21" i="9"/>
  <c r="R21" i="9"/>
  <c r="Q21" i="9"/>
  <c r="P21" i="9"/>
  <c r="O21" i="9"/>
  <c r="N21" i="9"/>
  <c r="M21" i="9"/>
  <c r="L21" i="9"/>
  <c r="K21" i="9"/>
  <c r="J21" i="9"/>
  <c r="I21" i="9"/>
  <c r="H21" i="9"/>
  <c r="G21" i="9"/>
  <c r="F21" i="9"/>
  <c r="E21" i="9"/>
  <c r="D21" i="9"/>
  <c r="D41" i="9" s="1"/>
  <c r="C21" i="9"/>
  <c r="C41" i="9" s="1"/>
  <c r="B21" i="9"/>
  <c r="AB20" i="9"/>
  <c r="AA20" i="9"/>
  <c r="Z20" i="9"/>
  <c r="Y20" i="9"/>
  <c r="X20" i="9"/>
  <c r="W20" i="9"/>
  <c r="V20" i="9"/>
  <c r="U20" i="9"/>
  <c r="T20" i="9"/>
  <c r="S20" i="9"/>
  <c r="R20" i="9"/>
  <c r="Q20" i="9"/>
  <c r="P20" i="9"/>
  <c r="O20" i="9"/>
  <c r="N20" i="9"/>
  <c r="M20" i="9"/>
  <c r="L20" i="9"/>
  <c r="K20" i="9"/>
  <c r="J20" i="9"/>
  <c r="I20" i="9"/>
  <c r="I40" i="9" s="1"/>
  <c r="H20" i="9"/>
  <c r="G20" i="9"/>
  <c r="F20" i="9"/>
  <c r="E20" i="9"/>
  <c r="D20" i="9"/>
  <c r="C20" i="9"/>
  <c r="B20" i="9"/>
  <c r="AB19" i="9"/>
  <c r="AA19" i="9"/>
  <c r="Z19" i="9"/>
  <c r="Y19" i="9"/>
  <c r="X19" i="9"/>
  <c r="W19" i="9"/>
  <c r="V19" i="9"/>
  <c r="U19" i="9"/>
  <c r="T19" i="9"/>
  <c r="S19" i="9"/>
  <c r="R19" i="9"/>
  <c r="Q19" i="9"/>
  <c r="P19" i="9"/>
  <c r="O19" i="9"/>
  <c r="N19" i="9"/>
  <c r="N39" i="9" s="1"/>
  <c r="M19" i="9"/>
  <c r="M39" i="9" s="1"/>
  <c r="L19" i="9"/>
  <c r="K19" i="9"/>
  <c r="J19" i="9"/>
  <c r="I19" i="9"/>
  <c r="H19" i="9"/>
  <c r="G19" i="9"/>
  <c r="F19" i="9"/>
  <c r="E19" i="9"/>
  <c r="D19" i="9"/>
  <c r="C19" i="9"/>
  <c r="B19" i="9"/>
  <c r="AB18" i="9"/>
  <c r="AA18" i="9"/>
  <c r="Z18" i="9"/>
  <c r="Y18" i="9"/>
  <c r="X18" i="9"/>
  <c r="W18" i="9"/>
  <c r="V18" i="9"/>
  <c r="U18" i="9"/>
  <c r="T18" i="9"/>
  <c r="S18" i="9"/>
  <c r="S38" i="9" s="1"/>
  <c r="R18" i="9"/>
  <c r="R38" i="9" s="1"/>
  <c r="Q18" i="9"/>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L39" i="9" l="1"/>
  <c r="G40" i="9"/>
  <c r="X41" i="9"/>
  <c r="Q38" i="9"/>
  <c r="B41" i="9"/>
  <c r="S42" i="9"/>
  <c r="N43" i="9"/>
  <c r="E45" i="9"/>
  <c r="H40" i="9"/>
  <c r="C45" i="9"/>
  <c r="Y45" i="9"/>
  <c r="M15" i="9"/>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M4" i="11" s="1"/>
  <c r="I60" i="9"/>
  <c r="I4" i="11" s="1"/>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V2" i="11" s="1"/>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AA2" i="11" s="1"/>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D4" i="11" s="1"/>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AB52" i="9"/>
  <c r="AB6" i="10" s="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C4" i="10"/>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P63" i="9"/>
  <c r="P7" i="11" s="1"/>
  <c r="S53" i="9"/>
  <c r="S7" i="10" s="1"/>
  <c r="W52" i="9"/>
  <c r="W6" i="10" s="1"/>
  <c r="O59" i="9"/>
  <c r="O3" i="11" s="1"/>
  <c r="S71" i="9" l="1"/>
  <c r="Z68" i="9"/>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<sst xmlns="http://schemas.openxmlformats.org/spreadsheetml/2006/main" count="5677" uniqueCount="335">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</sst>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144</v>
      </c>
    </row>
    <row r="2" spans="1:2" x14ac:dyDescent="0.25">
      <c r="A2" s="3" t="s">
        <v>2</v>
      </c>
      <c r="B2" s="4" t="str">
        <f>IFERROR(INDEX(Geography!B:B, MATCH($B$1, Geography!C:C, 0)), "")</f>
        <v>OH</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5863214</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11883304</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0.99524228996122366</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6020090</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11883304</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1.004677660042514</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9521458</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11883304</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1.0662360168774994</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1610713</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11883304</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0.9921876056086455</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363909</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11883304</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0.47426438971542617</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387224</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11883304</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0.68824690363780749</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614689</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11883304</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0.2650773637328136</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11268615</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11883304</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1.178183177399831</v>
      </c>
    </row>
    <row r="12" spans="1:28" x14ac:dyDescent="0.25">
      <c r="A12" s="4" t="s">
        <v>319</v>
      </c>
    </row>
    <row r="13" spans="1:28" x14ac:dyDescent="0.25">
      <c r="A13" s="4" t="s">
        <v>320</v>
      </c>
      <c r="B13" s="37">
        <f>INDEX(Census_pop_2020_2025!G:G, MATCH("."&amp;About!$B$1, Census_pop_2020_2025!A:A, 0))</f>
        <v>11860621</v>
      </c>
      <c r="C13" s="37">
        <f>INDEX(Census_pop_2020_2025!H:H, MATCH("."&amp;About!$B$1, Census_pop_2020_2025!A:A, 0))</f>
        <v>11900510</v>
      </c>
      <c r="D13" s="37">
        <f>INDEX(Census_pop_2020_2025!H:H, MATCH("."&amp;About!$B$1, Census_pop_2020_2025!A:A, 0))+0.2*(INDEX(Cooper_pop_2030_2050!D:D, MATCH(About!$B$1, Cooper_pop_2030_2050!B:B, 0))-INDEX(Census_pop_2020_2025!H:H, MATCH("."&amp;About!$B$1, Census_pop_2020_2025!A:A, 0)))</f>
        <v>11920338.511083635</v>
      </c>
      <c r="E13" s="37">
        <f>INDEX(Census_pop_2020_2025!H:H, MATCH("."&amp;About!$B$1, Census_pop_2020_2025!A:A, 0))+0.4*(INDEX(Cooper_pop_2030_2050!D:D, MATCH(About!$B$1, Cooper_pop_2030_2050!B:B, 0))-INDEX(Census_pop_2020_2025!H:H, MATCH("."&amp;About!$B$1, Census_pop_2020_2025!A:A, 0)))</f>
        <v>11940167.022167267</v>
      </c>
      <c r="F13" s="37">
        <f>INDEX(Census_pop_2020_2025!H:H, MATCH("."&amp;About!$B$1, Census_pop_2020_2025!A:A, 0))+0.6*(INDEX(Cooper_pop_2030_2050!D:D, MATCH(About!$B$1, Cooper_pop_2030_2050!B:B, 0))-INDEX(Census_pop_2020_2025!H:H, MATCH("."&amp;About!$B$1, Census_pop_2020_2025!A:A, 0)))</f>
        <v>11959995.533250902</v>
      </c>
      <c r="G13" s="37">
        <f>INDEX(Census_pop_2020_2025!H:H, MATCH("."&amp;About!$B$1, Census_pop_2020_2025!A:A, 0))+0.8*(INDEX(Cooper_pop_2030_2050!D:D, MATCH(About!$B$1, Cooper_pop_2030_2050!B:B, 0))-INDEX(Census_pop_2020_2025!H:H, MATCH("."&amp;About!$B$1, Census_pop_2020_2025!A:A, 0)))</f>
        <v>11979824.044334535</v>
      </c>
      <c r="H13" s="37">
        <f>INDEX(Cooper_pop_2030_2050!D:D, MATCH(About!$B$1, Cooper_pop_2030_2050!B:B, 0))</f>
        <v>11999652.555418169</v>
      </c>
      <c r="I13" s="37">
        <f>INDEX(Cooper_pop_2030_2050!D:D, MATCH(About!$B$1, Cooper_pop_2030_2050!B:B, 0))+0.1*(INDEX(Cooper_pop_2030_2050!E:E, MATCH(About!$B$1, Cooper_pop_2030_2050!B:B, 0))-INDEX(Cooper_pop_2030_2050!D:D, MATCH(About!$B$1, Cooper_pop_2030_2050!B:B, 0)))</f>
        <v>11979688.003463157</v>
      </c>
      <c r="J13" s="37">
        <f>INDEX(Cooper_pop_2030_2050!D:D, MATCH(About!$B$1, Cooper_pop_2030_2050!B:B, 0))+0.2*(INDEX(Cooper_pop_2030_2050!E:E, MATCH(About!$B$1, Cooper_pop_2030_2050!B:B, 0))-INDEX(Cooper_pop_2030_2050!D:D, MATCH(About!$B$1, Cooper_pop_2030_2050!B:B, 0)))</f>
        <v>11959723.451508144</v>
      </c>
      <c r="K13" s="37">
        <f>INDEX(Cooper_pop_2030_2050!D:D, MATCH(About!$B$1, Cooper_pop_2030_2050!B:B, 0))+0.3*(INDEX(Cooper_pop_2030_2050!E:E, MATCH(About!$B$1, Cooper_pop_2030_2050!B:B, 0))-INDEX(Cooper_pop_2030_2050!D:D, MATCH(About!$B$1, Cooper_pop_2030_2050!B:B, 0)))</f>
        <v>11939758.899553129</v>
      </c>
      <c r="L13" s="37">
        <f>INDEX(Cooper_pop_2030_2050!D:D, MATCH(About!$B$1, Cooper_pop_2030_2050!B:B, 0))+0.4*(INDEX(Cooper_pop_2030_2050!E:E, MATCH(About!$B$1, Cooper_pop_2030_2050!B:B, 0))-INDEX(Cooper_pop_2030_2050!D:D, MATCH(About!$B$1, Cooper_pop_2030_2050!B:B, 0)))</f>
        <v>11919794.347598117</v>
      </c>
      <c r="M13" s="37">
        <f>INDEX(Cooper_pop_2030_2050!D:D, MATCH(About!$B$1, Cooper_pop_2030_2050!B:B, 0))+0.5*(INDEX(Cooper_pop_2030_2050!E:E, MATCH(About!$B$1, Cooper_pop_2030_2050!B:B, 0))-INDEX(Cooper_pop_2030_2050!D:D, MATCH(About!$B$1, Cooper_pop_2030_2050!B:B, 0)))</f>
        <v>11899829.795643104</v>
      </c>
      <c r="N13" s="37">
        <f>INDEX(Cooper_pop_2030_2050!D:D, MATCH(About!$B$1, Cooper_pop_2030_2050!B:B, 0))+0.6*(INDEX(Cooper_pop_2030_2050!E:E, MATCH(About!$B$1, Cooper_pop_2030_2050!B:B, 0))-INDEX(Cooper_pop_2030_2050!D:D, MATCH(About!$B$1, Cooper_pop_2030_2050!B:B, 0)))</f>
        <v>11879865.243688092</v>
      </c>
      <c r="O13" s="37">
        <f>INDEX(Cooper_pop_2030_2050!D:D, MATCH(About!$B$1, Cooper_pop_2030_2050!B:B, 0))+0.7*(INDEX(Cooper_pop_2030_2050!E:E, MATCH(About!$B$1, Cooper_pop_2030_2050!B:B, 0))-INDEX(Cooper_pop_2030_2050!D:D, MATCH(About!$B$1, Cooper_pop_2030_2050!B:B, 0)))</f>
        <v>11859900.691733079</v>
      </c>
      <c r="P13" s="37">
        <f>INDEX(Cooper_pop_2030_2050!D:D, MATCH(About!$B$1, Cooper_pop_2030_2050!B:B, 0))+0.8*(INDEX(Cooper_pop_2030_2050!E:E, MATCH(About!$B$1, Cooper_pop_2030_2050!B:B, 0))-INDEX(Cooper_pop_2030_2050!D:D, MATCH(About!$B$1, Cooper_pop_2030_2050!B:B, 0)))</f>
        <v>11839936.139778065</v>
      </c>
      <c r="Q13" s="37">
        <f>INDEX(Cooper_pop_2030_2050!D:D, MATCH(About!$B$1, Cooper_pop_2030_2050!B:B, 0))+0.9*(INDEX(Cooper_pop_2030_2050!E:E, MATCH(About!$B$1, Cooper_pop_2030_2050!B:B, 0))-INDEX(Cooper_pop_2030_2050!D:D, MATCH(About!$B$1, Cooper_pop_2030_2050!B:B, 0)))</f>
        <v>11819971.587823052</v>
      </c>
      <c r="R13" s="37">
        <f>INDEX(Cooper_pop_2030_2050!E:E, MATCH(About!$B$1, Cooper_pop_2030_2050!B:B, 0))</f>
        <v>11800007.035868039</v>
      </c>
      <c r="S13" s="37">
        <f>INDEX(Cooper_pop_2030_2050!E:E, MATCH(About!$B$1, Cooper_pop_2030_2050!B:B, 0))+0.1*(INDEX(Cooper_pop_2030_2050!F:F, MATCH(About!$B$1, Cooper_pop_2030_2050!B:B, 0))-INDEX(Cooper_pop_2030_2050!E:E, MATCH(About!$B$1, Cooper_pop_2030_2050!B:B, 0)))</f>
        <v>11766777.569740733</v>
      </c>
      <c r="T13" s="37">
        <f>INDEX(Cooper_pop_2030_2050!E:E, MATCH(About!$B$1, Cooper_pop_2030_2050!B:B, 0))+0.2*(INDEX(Cooper_pop_2030_2050!F:F, MATCH(About!$B$1, Cooper_pop_2030_2050!B:B, 0))-INDEX(Cooper_pop_2030_2050!E:E, MATCH(About!$B$1, Cooper_pop_2030_2050!B:B, 0)))</f>
        <v>11733548.103613427</v>
      </c>
      <c r="U13" s="37">
        <f>INDEX(Cooper_pop_2030_2050!E:E, MATCH(About!$B$1, Cooper_pop_2030_2050!B:B, 0))+0.3*(INDEX(Cooper_pop_2030_2050!F:F, MATCH(About!$B$1, Cooper_pop_2030_2050!B:B, 0))-INDEX(Cooper_pop_2030_2050!E:E, MATCH(About!$B$1, Cooper_pop_2030_2050!B:B, 0)))</f>
        <v>11700318.637486123</v>
      </c>
      <c r="V13" s="37">
        <f>INDEX(Cooper_pop_2030_2050!E:E, MATCH(About!$B$1, Cooper_pop_2030_2050!B:B, 0))+0.4*(INDEX(Cooper_pop_2030_2050!F:F, MATCH(About!$B$1, Cooper_pop_2030_2050!B:B, 0))-INDEX(Cooper_pop_2030_2050!E:E, MATCH(About!$B$1, Cooper_pop_2030_2050!B:B, 0)))</f>
        <v>11667089.171358816</v>
      </c>
      <c r="W13" s="37">
        <f>INDEX(Cooper_pop_2030_2050!E:E, MATCH(About!$B$1, Cooper_pop_2030_2050!B:B, 0))+0.5*(INDEX(Cooper_pop_2030_2050!F:F, MATCH(About!$B$1, Cooper_pop_2030_2050!B:B, 0))-INDEX(Cooper_pop_2030_2050!E:E, MATCH(About!$B$1, Cooper_pop_2030_2050!B:B, 0)))</f>
        <v>11633859.70523151</v>
      </c>
      <c r="X13" s="37">
        <f>INDEX(Cooper_pop_2030_2050!E:E, MATCH(About!$B$1, Cooper_pop_2030_2050!B:B, 0))+0.6*(INDEX(Cooper_pop_2030_2050!F:F, MATCH(About!$B$1, Cooper_pop_2030_2050!B:B, 0))-INDEX(Cooper_pop_2030_2050!E:E, MATCH(About!$B$1, Cooper_pop_2030_2050!B:B, 0)))</f>
        <v>11600630.239104204</v>
      </c>
      <c r="Y13" s="37">
        <f>INDEX(Cooper_pop_2030_2050!E:E, MATCH(About!$B$1, Cooper_pop_2030_2050!B:B, 0))+0.7*(INDEX(Cooper_pop_2030_2050!F:F, MATCH(About!$B$1, Cooper_pop_2030_2050!B:B, 0))-INDEX(Cooper_pop_2030_2050!E:E, MATCH(About!$B$1, Cooper_pop_2030_2050!B:B, 0)))</f>
        <v>11567400.772976898</v>
      </c>
      <c r="Z13" s="37">
        <f>INDEX(Cooper_pop_2030_2050!E:E, MATCH(About!$B$1, Cooper_pop_2030_2050!B:B, 0))+0.8*(INDEX(Cooper_pop_2030_2050!F:F, MATCH(About!$B$1, Cooper_pop_2030_2050!B:B, 0))-INDEX(Cooper_pop_2030_2050!E:E, MATCH(About!$B$1, Cooper_pop_2030_2050!B:B, 0)))</f>
        <v>11534171.306849593</v>
      </c>
      <c r="AA13" s="37">
        <f>INDEX(Cooper_pop_2030_2050!E:E, MATCH(About!$B$1, Cooper_pop_2030_2050!B:B, 0))+0.9*(INDEX(Cooper_pop_2030_2050!F:F, MATCH(About!$B$1, Cooper_pop_2030_2050!B:B, 0))-INDEX(Cooper_pop_2030_2050!E:E, MATCH(About!$B$1, Cooper_pop_2030_2050!B:B, 0)))</f>
        <v>11500941.840722287</v>
      </c>
      <c r="AB13" s="37">
        <f>INDEX(Cooper_pop_2030_2050!F:F, MATCH(About!$B$1, Cooper_pop_2030_2050!B:B, 0))</f>
        <v>11467712.374594981</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3.5248884273712831E-2</v>
      </c>
      <c r="C15" s="39">
        <f t="shared" si="1"/>
        <v>3.5206915889806352E-2</v>
      </c>
      <c r="D15" s="39">
        <f t="shared" si="1"/>
        <v>3.5110104564858871E-2</v>
      </c>
      <c r="E15" s="39">
        <f t="shared" si="1"/>
        <v>3.5018182400647552E-2</v>
      </c>
      <c r="F15" s="39">
        <f t="shared" si="1"/>
        <v>3.493144653814706E-2</v>
      </c>
      <c r="G15" s="39">
        <f t="shared" si="1"/>
        <v>3.4850012881267496E-2</v>
      </c>
      <c r="H15" s="39">
        <f t="shared" si="1"/>
        <v>3.4774186644572928E-2</v>
      </c>
      <c r="I15" s="39">
        <f t="shared" si="1"/>
        <v>3.4589459667683412E-2</v>
      </c>
      <c r="J15" s="39">
        <f t="shared" si="1"/>
        <v>3.4412004428582513E-2</v>
      </c>
      <c r="K15" s="39">
        <f t="shared" si="1"/>
        <v>3.42405989549407E-2</v>
      </c>
      <c r="L15" s="39">
        <f t="shared" si="1"/>
        <v>3.4075282372538061E-2</v>
      </c>
      <c r="M15" s="39">
        <f t="shared" si="1"/>
        <v>3.3916072024799147E-2</v>
      </c>
      <c r="N15" s="39">
        <f t="shared" si="1"/>
        <v>3.3762955071501462E-2</v>
      </c>
      <c r="O15" s="39">
        <f t="shared" si="1"/>
        <v>3.3615922381662236E-2</v>
      </c>
      <c r="P15" s="39">
        <f t="shared" si="1"/>
        <v>3.3474924942898977E-2</v>
      </c>
      <c r="Q15" s="39">
        <f t="shared" si="1"/>
        <v>3.3339848500213751E-2</v>
      </c>
      <c r="R15" s="39">
        <f t="shared" si="1"/>
        <v>3.3210543433502521E-2</v>
      </c>
      <c r="S15" s="39">
        <f t="shared" si="1"/>
        <v>3.3049631982963845E-2</v>
      </c>
      <c r="T15" s="39">
        <f t="shared" si="1"/>
        <v>3.2894222942281288E-2</v>
      </c>
      <c r="U15" s="39">
        <f t="shared" si="1"/>
        <v>3.2743971894655645E-2</v>
      </c>
      <c r="V15" s="39">
        <f t="shared" si="1"/>
        <v>3.2598431216214779E-2</v>
      </c>
      <c r="W15" s="39">
        <f t="shared" si="1"/>
        <v>3.2457107174946306E-2</v>
      </c>
      <c r="X15" s="39">
        <f t="shared" si="1"/>
        <v>3.2319500531886571E-2</v>
      </c>
      <c r="Y15" s="39">
        <f t="shared" si="1"/>
        <v>3.2185281894157716E-2</v>
      </c>
      <c r="Z15" s="39">
        <f t="shared" si="1"/>
        <v>3.2053988215867232E-2</v>
      </c>
      <c r="AA15" s="39">
        <f t="shared" si="1"/>
        <v>3.1925156641339415E-2</v>
      </c>
      <c r="AB15" s="39">
        <f t="shared" si="1"/>
        <v>3.179833804151215E-2</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330.14898783292699</v>
      </c>
      <c r="C48" s="37">
        <f t="shared" si="10"/>
        <v>327.26810427528625</v>
      </c>
      <c r="D48" s="37">
        <f t="shared" si="10"/>
        <v>323.85228812377278</v>
      </c>
      <c r="E48" s="37">
        <f t="shared" si="10"/>
        <v>320.49509328867185</v>
      </c>
      <c r="F48" s="37">
        <f t="shared" si="10"/>
        <v>317.12863644555443</v>
      </c>
      <c r="G48" s="37">
        <f t="shared" si="10"/>
        <v>313.75333313093324</v>
      </c>
      <c r="H48" s="37">
        <f t="shared" si="10"/>
        <v>310.37119061242799</v>
      </c>
      <c r="I48" s="37">
        <f t="shared" si="10"/>
        <v>306.14057387752365</v>
      </c>
      <c r="J48" s="37">
        <f t="shared" si="10"/>
        <v>301.76161349197866</v>
      </c>
      <c r="K48" s="37">
        <f t="shared" si="10"/>
        <v>297.49825215137059</v>
      </c>
      <c r="L48" s="37">
        <f t="shared" si="10"/>
        <v>293.11145968043223</v>
      </c>
      <c r="M48" s="37">
        <f t="shared" si="10"/>
        <v>288.83904652557436</v>
      </c>
      <c r="N48" s="37">
        <f t="shared" si="10"/>
        <v>284.71246347088879</v>
      </c>
      <c r="O48" s="37">
        <f t="shared" si="10"/>
        <v>280.26080787627137</v>
      </c>
      <c r="P48" s="37">
        <f t="shared" si="10"/>
        <v>275.9869353632389</v>
      </c>
      <c r="Q48" s="37">
        <f t="shared" si="10"/>
        <v>271.58834437264193</v>
      </c>
      <c r="R48" s="37">
        <f t="shared" si="10"/>
        <v>267.22976405122313</v>
      </c>
      <c r="S48" s="37">
        <f t="shared" si="10"/>
        <v>262.54706829129725</v>
      </c>
      <c r="T48" s="37">
        <f t="shared" si="10"/>
        <v>257.94050980669232</v>
      </c>
      <c r="U48" s="37">
        <f t="shared" si="10"/>
        <v>253.40573099903094</v>
      </c>
      <c r="V48" s="37">
        <f t="shared" si="10"/>
        <v>248.9377273543368</v>
      </c>
      <c r="W48" s="37">
        <f t="shared" si="10"/>
        <v>244.56363320992023</v>
      </c>
      <c r="X48" s="37">
        <f t="shared" si="10"/>
        <v>240.5031910226289</v>
      </c>
      <c r="Y48" s="37">
        <f t="shared" si="10"/>
        <v>236.49339043773725</v>
      </c>
      <c r="Z48" s="37">
        <f t="shared" si="10"/>
        <v>232.68942892294731</v>
      </c>
      <c r="AA48" s="37">
        <f t="shared" si="10"/>
        <v>228.95815481831991</v>
      </c>
      <c r="AB48" s="37">
        <f t="shared" si="10"/>
        <v>225.26370737655819</v>
      </c>
    </row>
    <row r="49" spans="1:28" x14ac:dyDescent="0.25">
      <c r="A49" s="4" t="s">
        <v>216</v>
      </c>
      <c r="B49" s="37">
        <f t="shared" ref="B49:AB49" si="11">B29*B15*$F$5</f>
        <v>265.74490435045874</v>
      </c>
      <c r="C49" s="37">
        <f t="shared" si="11"/>
        <v>263.97826478181298</v>
      </c>
      <c r="D49" s="37">
        <f t="shared" si="11"/>
        <v>261.80613439507852</v>
      </c>
      <c r="E49" s="37">
        <f t="shared" si="11"/>
        <v>259.64305338279701</v>
      </c>
      <c r="F49" s="37">
        <f t="shared" si="11"/>
        <v>257.45577536278853</v>
      </c>
      <c r="G49" s="37">
        <f t="shared" si="11"/>
        <v>255.31501034107208</v>
      </c>
      <c r="H49" s="37">
        <f t="shared" si="11"/>
        <v>253.18734084724215</v>
      </c>
      <c r="I49" s="37">
        <f t="shared" si="11"/>
        <v>250.10479951545102</v>
      </c>
      <c r="J49" s="37">
        <f t="shared" si="11"/>
        <v>247.19675041976848</v>
      </c>
      <c r="K49" s="37">
        <f t="shared" si="11"/>
        <v>244.14222804466868</v>
      </c>
      <c r="L49" s="37">
        <f t="shared" si="11"/>
        <v>241.2175197634354</v>
      </c>
      <c r="M49" s="37">
        <f t="shared" si="11"/>
        <v>238.14821723928327</v>
      </c>
      <c r="N49" s="37">
        <f t="shared" si="11"/>
        <v>234.96998215258932</v>
      </c>
      <c r="O49" s="37">
        <f t="shared" si="11"/>
        <v>232.02165205903904</v>
      </c>
      <c r="P49" s="37">
        <f t="shared" si="11"/>
        <v>228.7951575075528</v>
      </c>
      <c r="Q49" s="37">
        <f t="shared" si="11"/>
        <v>225.69470698549662</v>
      </c>
      <c r="R49" s="37">
        <f t="shared" si="11"/>
        <v>222.48376162483132</v>
      </c>
      <c r="S49" s="37">
        <f t="shared" si="11"/>
        <v>219.08148925715648</v>
      </c>
      <c r="T49" s="37">
        <f t="shared" si="11"/>
        <v>215.67184143899041</v>
      </c>
      <c r="U49" s="37">
        <f t="shared" si="11"/>
        <v>212.31812260860656</v>
      </c>
      <c r="V49" s="37">
        <f t="shared" si="11"/>
        <v>209.08184516080064</v>
      </c>
      <c r="W49" s="37">
        <f t="shared" si="11"/>
        <v>205.92539603345125</v>
      </c>
      <c r="X49" s="37">
        <f t="shared" si="11"/>
        <v>202.77939764990057</v>
      </c>
      <c r="Y49" s="37">
        <f t="shared" si="11"/>
        <v>199.80311643990677</v>
      </c>
      <c r="Z49" s="37">
        <f t="shared" si="11"/>
        <v>196.83039495257063</v>
      </c>
      <c r="AA49" s="37">
        <f t="shared" si="11"/>
        <v>193.98652562567341</v>
      </c>
      <c r="AB49" s="37">
        <f t="shared" si="11"/>
        <v>191.36300834215584</v>
      </c>
    </row>
    <row r="50" spans="1:28" x14ac:dyDescent="0.25">
      <c r="A50" s="4" t="s">
        <v>217</v>
      </c>
      <c r="B50" s="37">
        <f t="shared" ref="B50:AB50" si="12">B30*B15*$F$6</f>
        <v>370.49942421842707</v>
      </c>
      <c r="C50" s="37">
        <f t="shared" si="12"/>
        <v>367.61826912355076</v>
      </c>
      <c r="D50" s="37">
        <f t="shared" si="12"/>
        <v>364.21151710411823</v>
      </c>
      <c r="E50" s="37">
        <f t="shared" si="12"/>
        <v>360.79368606433235</v>
      </c>
      <c r="F50" s="37">
        <f t="shared" si="12"/>
        <v>357.40461697210867</v>
      </c>
      <c r="G50" s="37">
        <f t="shared" si="12"/>
        <v>354.08181159395281</v>
      </c>
      <c r="H50" s="37">
        <f t="shared" si="12"/>
        <v>350.67890286077096</v>
      </c>
      <c r="I50" s="37">
        <f t="shared" si="12"/>
        <v>346.23439406652312</v>
      </c>
      <c r="J50" s="37">
        <f t="shared" si="12"/>
        <v>341.70624951368615</v>
      </c>
      <c r="K50" s="37">
        <f t="shared" si="12"/>
        <v>337.12004161072304</v>
      </c>
      <c r="L50" s="37">
        <f t="shared" si="12"/>
        <v>332.44048416047008</v>
      </c>
      <c r="M50" s="37">
        <f t="shared" si="12"/>
        <v>327.668752684845</v>
      </c>
      <c r="N50" s="37">
        <f t="shared" si="12"/>
        <v>322.80553240286127</v>
      </c>
      <c r="O50" s="37">
        <f t="shared" si="12"/>
        <v>317.7438261851558</v>
      </c>
      <c r="P50" s="37">
        <f t="shared" si="12"/>
        <v>312.62772260413874</v>
      </c>
      <c r="Q50" s="37">
        <f t="shared" si="12"/>
        <v>307.42037757510974</v>
      </c>
      <c r="R50" s="37">
        <f t="shared" si="12"/>
        <v>302.12048804700083</v>
      </c>
      <c r="S50" s="37">
        <f t="shared" si="12"/>
        <v>296.46325010771585</v>
      </c>
      <c r="T50" s="37">
        <f t="shared" si="12"/>
        <v>290.89550552905564</v>
      </c>
      <c r="U50" s="37">
        <f t="shared" si="12"/>
        <v>285.41215773735001</v>
      </c>
      <c r="V50" s="37">
        <f t="shared" si="12"/>
        <v>280.04215607447247</v>
      </c>
      <c r="W50" s="37">
        <f t="shared" si="12"/>
        <v>274.84829106157918</v>
      </c>
      <c r="X50" s="37">
        <f t="shared" si="12"/>
        <v>269.85794769474614</v>
      </c>
      <c r="Y50" s="37">
        <f t="shared" si="12"/>
        <v>264.99669846949382</v>
      </c>
      <c r="Z50" s="37">
        <f t="shared" si="12"/>
        <v>260.29292094199201</v>
      </c>
      <c r="AA50" s="37">
        <f t="shared" si="12"/>
        <v>255.80873519372167</v>
      </c>
      <c r="AB50" s="37">
        <f t="shared" si="12"/>
        <v>251.46992346166974</v>
      </c>
    </row>
    <row r="51" spans="1:28" x14ac:dyDescent="0.25">
      <c r="A51" s="4" t="s">
        <v>218</v>
      </c>
      <c r="B51" s="37">
        <f t="shared" ref="B51:AB51" si="13">B31*B15*$F$7</f>
        <v>163.60606147924941</v>
      </c>
      <c r="C51" s="37">
        <f t="shared" si="13"/>
        <v>161.21055964049449</v>
      </c>
      <c r="D51" s="37">
        <f t="shared" si="13"/>
        <v>158.60744557473069</v>
      </c>
      <c r="E51" s="37">
        <f t="shared" si="13"/>
        <v>155.96853879785635</v>
      </c>
      <c r="F51" s="37">
        <f t="shared" si="13"/>
        <v>153.29475913590039</v>
      </c>
      <c r="G51" s="37">
        <f t="shared" si="13"/>
        <v>150.65526039286701</v>
      </c>
      <c r="H51" s="37">
        <f t="shared" si="13"/>
        <v>147.94679282682148</v>
      </c>
      <c r="I51" s="37">
        <f t="shared" si="13"/>
        <v>144.82716396463709</v>
      </c>
      <c r="J51" s="37">
        <f t="shared" si="13"/>
        <v>141.76241808304235</v>
      </c>
      <c r="K51" s="37">
        <f t="shared" si="13"/>
        <v>138.74613178973752</v>
      </c>
      <c r="L51" s="37">
        <f t="shared" si="13"/>
        <v>135.84485462148575</v>
      </c>
      <c r="M51" s="37">
        <f t="shared" si="13"/>
        <v>133.09012539251623</v>
      </c>
      <c r="N51" s="37">
        <f t="shared" si="13"/>
        <v>130.37883016318938</v>
      </c>
      <c r="O51" s="37">
        <f t="shared" si="13"/>
        <v>127.80985149433461</v>
      </c>
      <c r="P51" s="37">
        <f t="shared" si="13"/>
        <v>125.28096602513476</v>
      </c>
      <c r="Q51" s="37">
        <f t="shared" si="13"/>
        <v>122.85683386506062</v>
      </c>
      <c r="R51" s="37">
        <f t="shared" si="13"/>
        <v>120.50213455839983</v>
      </c>
      <c r="S51" s="37">
        <f t="shared" si="13"/>
        <v>118.04916680432571</v>
      </c>
      <c r="T51" s="37">
        <f t="shared" si="13"/>
        <v>115.66637962128286</v>
      </c>
      <c r="U51" s="37">
        <f t="shared" si="13"/>
        <v>113.31871279609578</v>
      </c>
      <c r="V51" s="37">
        <f t="shared" si="13"/>
        <v>111.06846983115899</v>
      </c>
      <c r="W51" s="37">
        <f t="shared" si="13"/>
        <v>108.815759811326</v>
      </c>
      <c r="X51" s="37">
        <f t="shared" si="13"/>
        <v>106.65486809978681</v>
      </c>
      <c r="Y51" s="37">
        <f t="shared" si="13"/>
        <v>104.6152525620503</v>
      </c>
      <c r="Z51" s="37">
        <f t="shared" si="13"/>
        <v>102.59831623321979</v>
      </c>
      <c r="AA51" s="37">
        <f t="shared" si="13"/>
        <v>100.66551674129848</v>
      </c>
      <c r="AB51" s="37">
        <f t="shared" si="13"/>
        <v>98.751239846113236</v>
      </c>
    </row>
    <row r="52" spans="1:28" x14ac:dyDescent="0.25">
      <c r="A52" s="4" t="s">
        <v>219</v>
      </c>
      <c r="B52" s="37">
        <f t="shared" ref="B52:AB52" si="14">B32*B15*$F$8</f>
        <v>14.393587196459228</v>
      </c>
      <c r="C52" s="37">
        <f t="shared" si="14"/>
        <v>14.426541917200526</v>
      </c>
      <c r="D52" s="37">
        <f t="shared" si="14"/>
        <v>14.43682649649601</v>
      </c>
      <c r="E52" s="37">
        <f t="shared" si="14"/>
        <v>14.46546078441752</v>
      </c>
      <c r="F52" s="37">
        <f t="shared" si="14"/>
        <v>14.495898527504933</v>
      </c>
      <c r="G52" s="37">
        <f t="shared" si="14"/>
        <v>14.528217559733273</v>
      </c>
      <c r="H52" s="37">
        <f t="shared" si="14"/>
        <v>14.562575873238575</v>
      </c>
      <c r="I52" s="37">
        <f t="shared" si="14"/>
        <v>14.550834945153756</v>
      </c>
      <c r="J52" s="37">
        <f t="shared" si="14"/>
        <v>14.541465956772749</v>
      </c>
      <c r="K52" s="37">
        <f t="shared" si="14"/>
        <v>14.566469799869482</v>
      </c>
      <c r="L52" s="37">
        <f t="shared" si="14"/>
        <v>14.560784391912117</v>
      </c>
      <c r="M52" s="37">
        <f t="shared" si="14"/>
        <v>14.557092606349155</v>
      </c>
      <c r="N52" s="37">
        <f t="shared" si="14"/>
        <v>14.555423659315268</v>
      </c>
      <c r="O52" s="37">
        <f t="shared" si="14"/>
        <v>14.55580827562394</v>
      </c>
      <c r="P52" s="37">
        <f t="shared" si="14"/>
        <v>14.542383801513331</v>
      </c>
      <c r="Q52" s="37">
        <f t="shared" si="14"/>
        <v>14.54695066998595</v>
      </c>
      <c r="R52" s="37">
        <f t="shared" si="14"/>
        <v>14.522033020746324</v>
      </c>
      <c r="S52" s="37">
        <f t="shared" si="14"/>
        <v>14.498693777015793</v>
      </c>
      <c r="T52" s="37">
        <f t="shared" si="14"/>
        <v>14.492918910493428</v>
      </c>
      <c r="U52" s="37">
        <f t="shared" si="14"/>
        <v>14.45777815800195</v>
      </c>
      <c r="V52" s="37">
        <f t="shared" si="14"/>
        <v>14.439896930733465</v>
      </c>
      <c r="W52" s="37">
        <f t="shared" si="14"/>
        <v>14.423475368300082</v>
      </c>
      <c r="X52" s="37">
        <f t="shared" si="14"/>
        <v>14.392980915727158</v>
      </c>
      <c r="Y52" s="37">
        <f t="shared" si="14"/>
        <v>14.39426609005662</v>
      </c>
      <c r="Z52" s="37">
        <f t="shared" si="14"/>
        <v>14.365951575390829</v>
      </c>
      <c r="AA52" s="37">
        <f t="shared" si="14"/>
        <v>14.338493789727289</v>
      </c>
      <c r="AB52" s="37">
        <f t="shared" si="14"/>
        <v>14.311697596576229</v>
      </c>
    </row>
    <row r="53" spans="1:28" x14ac:dyDescent="0.25">
      <c r="A53" s="4" t="s">
        <v>220</v>
      </c>
      <c r="B53" s="37">
        <f t="shared" ref="B53:AB53" si="15">B33*B15*$F$9</f>
        <v>36.82658202535066</v>
      </c>
      <c r="C53" s="37">
        <f t="shared" si="15"/>
        <v>37.097738847975592</v>
      </c>
      <c r="D53" s="37">
        <f t="shared" si="15"/>
        <v>37.237372380625366</v>
      </c>
      <c r="E53" s="37">
        <f t="shared" si="15"/>
        <v>37.42909465964275</v>
      </c>
      <c r="F53" s="37">
        <f t="shared" si="15"/>
        <v>37.600843314050024</v>
      </c>
      <c r="G53" s="37">
        <f t="shared" si="15"/>
        <v>37.729055368285806</v>
      </c>
      <c r="H53" s="37">
        <f t="shared" si="15"/>
        <v>37.958096887455717</v>
      </c>
      <c r="I53" s="37">
        <f t="shared" si="15"/>
        <v>37.970711181086756</v>
      </c>
      <c r="J53" s="37">
        <f t="shared" si="15"/>
        <v>38.012748570987604</v>
      </c>
      <c r="K53" s="37">
        <f t="shared" si="15"/>
        <v>37.98836976962032</v>
      </c>
      <c r="L53" s="37">
        <f t="shared" si="15"/>
        <v>37.992576285242919</v>
      </c>
      <c r="M53" s="37">
        <f t="shared" si="15"/>
        <v>37.931776276265424</v>
      </c>
      <c r="N53" s="37">
        <f t="shared" si="15"/>
        <v>37.923190834137209</v>
      </c>
      <c r="O53" s="37">
        <f t="shared" si="15"/>
        <v>37.873721203580644</v>
      </c>
      <c r="P53" s="37">
        <f t="shared" si="15"/>
        <v>37.7839820439915</v>
      </c>
      <c r="Q53" s="37">
        <f t="shared" si="15"/>
        <v>37.654463944260193</v>
      </c>
      <c r="R53" s="37">
        <f t="shared" si="15"/>
        <v>37.531282152801204</v>
      </c>
      <c r="S53" s="37">
        <f t="shared" si="15"/>
        <v>37.349435894733311</v>
      </c>
      <c r="T53" s="37">
        <f t="shared" si="15"/>
        <v>37.0832505294836</v>
      </c>
      <c r="U53" s="37">
        <f t="shared" si="15"/>
        <v>36.868793372575027</v>
      </c>
      <c r="V53" s="37">
        <f t="shared" si="15"/>
        <v>36.615175575952108</v>
      </c>
      <c r="W53" s="37">
        <f t="shared" si="15"/>
        <v>36.36708372111314</v>
      </c>
      <c r="X53" s="37">
        <f t="shared" si="15"/>
        <v>36.168412569479223</v>
      </c>
      <c r="Y53" s="37">
        <f t="shared" si="15"/>
        <v>35.907452802916104</v>
      </c>
      <c r="Z53" s="37">
        <f t="shared" si="15"/>
        <v>35.716853126738883</v>
      </c>
      <c r="AA53" s="37">
        <f t="shared" si="15"/>
        <v>35.463437793377899</v>
      </c>
      <c r="AB53" s="37">
        <f t="shared" si="15"/>
        <v>35.278793609013256</v>
      </c>
    </row>
    <row r="54" spans="1:28" x14ac:dyDescent="0.25">
      <c r="A54" s="4" t="s">
        <v>221</v>
      </c>
      <c r="B54" s="37">
        <f t="shared" ref="B54:AB54" si="16">B34*B15*$F$10</f>
        <v>35.889079941665308</v>
      </c>
      <c r="C54" s="37">
        <f t="shared" si="16"/>
        <v>35.995670224690805</v>
      </c>
      <c r="D54" s="37">
        <f t="shared" si="16"/>
        <v>36.064214088940332</v>
      </c>
      <c r="E54" s="37">
        <f t="shared" si="16"/>
        <v>36.146161981725136</v>
      </c>
      <c r="F54" s="37">
        <f t="shared" si="16"/>
        <v>36.260342035007675</v>
      </c>
      <c r="G54" s="37">
        <f t="shared" si="16"/>
        <v>36.342093492802945</v>
      </c>
      <c r="H54" s="37">
        <f t="shared" si="16"/>
        <v>36.419724250421716</v>
      </c>
      <c r="I54" s="37">
        <f t="shared" si="16"/>
        <v>36.37295799481349</v>
      </c>
      <c r="J54" s="37">
        <f t="shared" si="16"/>
        <v>36.314058633883114</v>
      </c>
      <c r="K54" s="37">
        <f t="shared" si="16"/>
        <v>36.242095960507591</v>
      </c>
      <c r="L54" s="37">
        <f t="shared" si="16"/>
        <v>36.148409251093945</v>
      </c>
      <c r="M54" s="37">
        <f t="shared" si="16"/>
        <v>36.033454905707998</v>
      </c>
      <c r="N54" s="37">
        <f t="shared" si="16"/>
        <v>35.897628235076162</v>
      </c>
      <c r="O54" s="37">
        <f t="shared" si="16"/>
        <v>35.741299358439804</v>
      </c>
      <c r="P54" s="37">
        <f t="shared" si="16"/>
        <v>35.538146644344955</v>
      </c>
      <c r="Q54" s="37">
        <f t="shared" si="16"/>
        <v>35.315206034161484</v>
      </c>
      <c r="R54" s="37">
        <f t="shared" si="16"/>
        <v>35.046189303219556</v>
      </c>
      <c r="S54" s="37">
        <f t="shared" si="16"/>
        <v>34.744973156709904</v>
      </c>
      <c r="T54" s="37">
        <f t="shared" si="16"/>
        <v>34.415921361639725</v>
      </c>
      <c r="U54" s="37">
        <f t="shared" si="16"/>
        <v>34.059086875060416</v>
      </c>
      <c r="V54" s="37">
        <f t="shared" si="16"/>
        <v>33.708955319825336</v>
      </c>
      <c r="W54" s="37">
        <f t="shared" si="16"/>
        <v>33.321914777962945</v>
      </c>
      <c r="X54" s="37">
        <f t="shared" si="16"/>
        <v>32.983596792891973</v>
      </c>
      <c r="Y54" s="37">
        <f t="shared" si="16"/>
        <v>32.641862098466</v>
      </c>
      <c r="Z54" s="37">
        <f t="shared" si="16"/>
        <v>32.304783008248855</v>
      </c>
      <c r="AA54" s="37">
        <f t="shared" si="16"/>
        <v>31.980302801580724</v>
      </c>
      <c r="AB54" s="37">
        <f t="shared" si="16"/>
        <v>31.676255728686328</v>
      </c>
    </row>
    <row r="55" spans="1:28" x14ac:dyDescent="0.25">
      <c r="A55" s="4" t="s">
        <v>222</v>
      </c>
      <c r="B55" s="37">
        <f t="shared" ref="B55:AB55" si="17">B35*B15*$F$11</f>
        <v>542.95854569725668</v>
      </c>
      <c r="C55" s="37">
        <f t="shared" si="17"/>
        <v>537.00261779791538</v>
      </c>
      <c r="D55" s="37">
        <f t="shared" si="17"/>
        <v>530.10701432316739</v>
      </c>
      <c r="E55" s="37">
        <f t="shared" si="17"/>
        <v>523.23184327469835</v>
      </c>
      <c r="F55" s="37">
        <f t="shared" si="17"/>
        <v>516.17407041086676</v>
      </c>
      <c r="G55" s="37">
        <f t="shared" si="17"/>
        <v>509.30450526570758</v>
      </c>
      <c r="H55" s="37">
        <f t="shared" si="17"/>
        <v>502.46051604084545</v>
      </c>
      <c r="I55" s="37">
        <f t="shared" si="17"/>
        <v>494.04521844775974</v>
      </c>
      <c r="J55" s="37">
        <f t="shared" si="17"/>
        <v>485.71286372600554</v>
      </c>
      <c r="K55" s="37">
        <f t="shared" si="17"/>
        <v>477.40365025997875</v>
      </c>
      <c r="L55" s="37">
        <f t="shared" si="17"/>
        <v>469.19710612280403</v>
      </c>
      <c r="M55" s="37">
        <f t="shared" si="17"/>
        <v>461.05092841476068</v>
      </c>
      <c r="N55" s="37">
        <f t="shared" si="17"/>
        <v>453.04241240133229</v>
      </c>
      <c r="O55" s="37">
        <f t="shared" si="17"/>
        <v>445.00980523269527</v>
      </c>
      <c r="P55" s="37">
        <f t="shared" si="17"/>
        <v>437.06957441836187</v>
      </c>
      <c r="Q55" s="37">
        <f t="shared" si="17"/>
        <v>429.21746228939833</v>
      </c>
      <c r="R55" s="37">
        <f t="shared" si="17"/>
        <v>421.48793182471974</v>
      </c>
      <c r="S55" s="37">
        <f t="shared" si="17"/>
        <v>413.29345575468642</v>
      </c>
      <c r="T55" s="37">
        <f t="shared" si="17"/>
        <v>405.30418345009366</v>
      </c>
      <c r="U55" s="37">
        <f t="shared" si="17"/>
        <v>397.58895791070756</v>
      </c>
      <c r="V55" s="37">
        <f t="shared" si="17"/>
        <v>390.06071271559455</v>
      </c>
      <c r="W55" s="37">
        <f t="shared" si="17"/>
        <v>382.9013020354385</v>
      </c>
      <c r="X55" s="37">
        <f t="shared" si="17"/>
        <v>375.90889693227138</v>
      </c>
      <c r="Y55" s="37">
        <f t="shared" si="17"/>
        <v>369.19065524616195</v>
      </c>
      <c r="Z55" s="37">
        <f t="shared" si="17"/>
        <v>362.69957085000715</v>
      </c>
      <c r="AA55" s="37">
        <f t="shared" si="17"/>
        <v>356.38964159919857</v>
      </c>
      <c r="AB55" s="37">
        <f t="shared" si="17"/>
        <v>350.29089598046829</v>
      </c>
    </row>
    <row r="57" spans="1:28" x14ac:dyDescent="0.25">
      <c r="A57" s="4" t="s">
        <v>327</v>
      </c>
    </row>
    <row r="58" spans="1:28" x14ac:dyDescent="0.25">
      <c r="A58" s="4" t="s">
        <v>215</v>
      </c>
      <c r="B58" s="37">
        <f t="shared" ref="B58:AB58" si="18">B38*B15*$F$4</f>
        <v>52352.978451239462</v>
      </c>
      <c r="C58" s="37">
        <f t="shared" si="18"/>
        <v>53243.121742664589</v>
      </c>
      <c r="D58" s="37">
        <f t="shared" si="18"/>
        <v>54038.709827941741</v>
      </c>
      <c r="E58" s="37">
        <f t="shared" si="18"/>
        <v>54832.92558053352</v>
      </c>
      <c r="F58" s="37">
        <f t="shared" si="18"/>
        <v>55630.52323535426</v>
      </c>
      <c r="G58" s="37">
        <f t="shared" si="18"/>
        <v>56433.181178865452</v>
      </c>
      <c r="H58" s="37">
        <f t="shared" si="18"/>
        <v>57237.078198497278</v>
      </c>
      <c r="I58" s="37">
        <f t="shared" si="18"/>
        <v>57846.832930525743</v>
      </c>
      <c r="J58" s="37">
        <f t="shared" si="18"/>
        <v>58442.022019998774</v>
      </c>
      <c r="K58" s="37">
        <f t="shared" si="18"/>
        <v>59021.847109149916</v>
      </c>
      <c r="L58" s="37">
        <f t="shared" si="18"/>
        <v>59581.55963810203</v>
      </c>
      <c r="M58" s="37">
        <f t="shared" si="18"/>
        <v>60120.445026131514</v>
      </c>
      <c r="N58" s="37">
        <f t="shared" si="18"/>
        <v>60632.665953461306</v>
      </c>
      <c r="O58" s="37">
        <f t="shared" si="18"/>
        <v>61116.294045805495</v>
      </c>
      <c r="P58" s="37">
        <f t="shared" si="18"/>
        <v>61563.876618781724</v>
      </c>
      <c r="Q58" s="37">
        <f t="shared" si="18"/>
        <v>61974.602037115459</v>
      </c>
      <c r="R58" s="37">
        <f t="shared" si="18"/>
        <v>62339.531231063287</v>
      </c>
      <c r="S58" s="37">
        <f t="shared" si="18"/>
        <v>62589.287008029947</v>
      </c>
      <c r="T58" s="37">
        <f t="shared" si="18"/>
        <v>62790.655710705367</v>
      </c>
      <c r="U58" s="37">
        <f t="shared" si="18"/>
        <v>62947.502189606887</v>
      </c>
      <c r="V58" s="37">
        <f t="shared" si="18"/>
        <v>63045.190838530099</v>
      </c>
      <c r="W58" s="37">
        <f t="shared" si="18"/>
        <v>63087.984983943687</v>
      </c>
      <c r="X58" s="37">
        <f t="shared" si="18"/>
        <v>63072.918776262588</v>
      </c>
      <c r="Y58" s="37">
        <f t="shared" si="18"/>
        <v>63026.433500189807</v>
      </c>
      <c r="Z58" s="37">
        <f t="shared" si="18"/>
        <v>62925.806047193488</v>
      </c>
      <c r="AA58" s="37">
        <f t="shared" si="18"/>
        <v>62775.331293767631</v>
      </c>
      <c r="AB58" s="37">
        <f t="shared" si="18"/>
        <v>62581.061837906032</v>
      </c>
    </row>
    <row r="59" spans="1:28" x14ac:dyDescent="0.25">
      <c r="A59" s="4" t="s">
        <v>216</v>
      </c>
      <c r="B59" s="37">
        <f t="shared" ref="B59:AB59" si="19">B39*B15*$F$5</f>
        <v>49661.36231062455</v>
      </c>
      <c r="C59" s="37">
        <f t="shared" si="19"/>
        <v>50374.926638946949</v>
      </c>
      <c r="D59" s="37">
        <f t="shared" si="19"/>
        <v>51003.164877639996</v>
      </c>
      <c r="E59" s="37">
        <f t="shared" si="19"/>
        <v>51656.900202131852</v>
      </c>
      <c r="F59" s="37">
        <f t="shared" si="19"/>
        <v>52350.627801379233</v>
      </c>
      <c r="G59" s="37">
        <f t="shared" si="19"/>
        <v>53086.965245364168</v>
      </c>
      <c r="H59" s="37">
        <f t="shared" si="19"/>
        <v>53870.6638740665</v>
      </c>
      <c r="I59" s="37">
        <f t="shared" si="19"/>
        <v>54515.479027799294</v>
      </c>
      <c r="J59" s="37">
        <f t="shared" si="19"/>
        <v>55194.781893167645</v>
      </c>
      <c r="K59" s="37">
        <f t="shared" si="19"/>
        <v>55894.121900997801</v>
      </c>
      <c r="L59" s="37">
        <f t="shared" si="19"/>
        <v>56612.136011820214</v>
      </c>
      <c r="M59" s="37">
        <f t="shared" si="19"/>
        <v>57345.197953558556</v>
      </c>
      <c r="N59" s="37">
        <f t="shared" si="19"/>
        <v>58080.970405775479</v>
      </c>
      <c r="O59" s="37">
        <f t="shared" si="19"/>
        <v>58807.897217754638</v>
      </c>
      <c r="P59" s="37">
        <f t="shared" si="19"/>
        <v>59523.567454605327</v>
      </c>
      <c r="Q59" s="37">
        <f t="shared" si="19"/>
        <v>60211.817366307485</v>
      </c>
      <c r="R59" s="37">
        <f t="shared" si="19"/>
        <v>60868.427459971899</v>
      </c>
      <c r="S59" s="37">
        <f t="shared" si="19"/>
        <v>61413.641608036778</v>
      </c>
      <c r="T59" s="37">
        <f t="shared" si="19"/>
        <v>61911.169921727815</v>
      </c>
      <c r="U59" s="37">
        <f t="shared" si="19"/>
        <v>62355.865361351345</v>
      </c>
      <c r="V59" s="37">
        <f t="shared" si="19"/>
        <v>62734.247819256416</v>
      </c>
      <c r="W59" s="37">
        <f t="shared" si="19"/>
        <v>63034.432208914433</v>
      </c>
      <c r="X59" s="37">
        <f t="shared" si="19"/>
        <v>63260.54804801468</v>
      </c>
      <c r="Y59" s="37">
        <f t="shared" si="19"/>
        <v>63442.679370979444</v>
      </c>
      <c r="Z59" s="37">
        <f t="shared" si="19"/>
        <v>63553.996860826046</v>
      </c>
      <c r="AA59" s="37">
        <f t="shared" si="19"/>
        <v>63585.370374181963</v>
      </c>
      <c r="AB59" s="37">
        <f t="shared" si="19"/>
        <v>63538.588714768528</v>
      </c>
    </row>
    <row r="60" spans="1:28" x14ac:dyDescent="0.25">
      <c r="A60" s="4" t="s">
        <v>217</v>
      </c>
      <c r="B60" s="37">
        <f t="shared" ref="B60:AB60" si="20">B40*B15*$F$6</f>
        <v>88103.770871310815</v>
      </c>
      <c r="C60" s="37">
        <f t="shared" si="20"/>
        <v>89471.259426005883</v>
      </c>
      <c r="D60" s="37">
        <f t="shared" si="20"/>
        <v>90676.126813480907</v>
      </c>
      <c r="E60" s="37">
        <f t="shared" si="20"/>
        <v>91893.252003284986</v>
      </c>
      <c r="F60" s="37">
        <f t="shared" si="20"/>
        <v>93141.483094152689</v>
      </c>
      <c r="G60" s="37">
        <f t="shared" si="20"/>
        <v>94421.197119405362</v>
      </c>
      <c r="H60" s="37">
        <f t="shared" si="20"/>
        <v>95735.859565854087</v>
      </c>
      <c r="I60" s="37">
        <f t="shared" si="20"/>
        <v>96754.921129879353</v>
      </c>
      <c r="J60" s="37">
        <f t="shared" si="20"/>
        <v>97784.051695635251</v>
      </c>
      <c r="K60" s="37">
        <f t="shared" si="20"/>
        <v>98805.999685335395</v>
      </c>
      <c r="L60" s="37">
        <f t="shared" si="20"/>
        <v>99815.745855141387</v>
      </c>
      <c r="M60" s="37">
        <f t="shared" si="20"/>
        <v>100809.69114785861</v>
      </c>
      <c r="N60" s="37">
        <f t="shared" si="20"/>
        <v>101769.92498018917</v>
      </c>
      <c r="O60" s="37">
        <f t="shared" si="20"/>
        <v>102686.88342895472</v>
      </c>
      <c r="P60" s="37">
        <f t="shared" si="20"/>
        <v>103547.98392005607</v>
      </c>
      <c r="Q60" s="37">
        <f t="shared" si="20"/>
        <v>104340.06870598988</v>
      </c>
      <c r="R60" s="37">
        <f t="shared" si="20"/>
        <v>105050.67891647585</v>
      </c>
      <c r="S60" s="37">
        <f t="shared" si="20"/>
        <v>105552.93343776283</v>
      </c>
      <c r="T60" s="37">
        <f t="shared" si="20"/>
        <v>105958.95093649789</v>
      </c>
      <c r="U60" s="37">
        <f t="shared" si="20"/>
        <v>106269.54236107391</v>
      </c>
      <c r="V60" s="37">
        <f t="shared" si="20"/>
        <v>106457.41563545415</v>
      </c>
      <c r="W60" s="37">
        <f t="shared" si="20"/>
        <v>106515.75600032433</v>
      </c>
      <c r="X60" s="37">
        <f t="shared" si="20"/>
        <v>106448.01924715147</v>
      </c>
      <c r="Y60" s="37">
        <f t="shared" si="20"/>
        <v>106309.48942380352</v>
      </c>
      <c r="Z60" s="37">
        <f t="shared" si="20"/>
        <v>106053.26786188646</v>
      </c>
      <c r="AA60" s="37">
        <f t="shared" si="20"/>
        <v>105673.82261410967</v>
      </c>
      <c r="AB60" s="37">
        <f t="shared" si="20"/>
        <v>105181.18603303916</v>
      </c>
    </row>
    <row r="61" spans="1:28" x14ac:dyDescent="0.25">
      <c r="A61" s="4" t="s">
        <v>218</v>
      </c>
      <c r="B61" s="37">
        <f t="shared" ref="B61:AB61" si="21">B41*B15*$F$7</f>
        <v>12648.658105778379</v>
      </c>
      <c r="C61" s="37">
        <f t="shared" si="21"/>
        <v>12824.18649083821</v>
      </c>
      <c r="D61" s="37">
        <f t="shared" si="21"/>
        <v>12978.568933253671</v>
      </c>
      <c r="E61" s="37">
        <f t="shared" si="21"/>
        <v>13134.260401421709</v>
      </c>
      <c r="F61" s="37">
        <f t="shared" si="21"/>
        <v>13295.573665086493</v>
      </c>
      <c r="G61" s="37">
        <f t="shared" si="21"/>
        <v>13462.881865784522</v>
      </c>
      <c r="H61" s="37">
        <f t="shared" si="21"/>
        <v>13635.877747261993</v>
      </c>
      <c r="I61" s="37">
        <f t="shared" si="21"/>
        <v>13769.459773554456</v>
      </c>
      <c r="J61" s="37">
        <f t="shared" si="21"/>
        <v>13907.500962270606</v>
      </c>
      <c r="K61" s="37">
        <f t="shared" si="21"/>
        <v>14049.099009745569</v>
      </c>
      <c r="L61" s="37">
        <f t="shared" si="21"/>
        <v>14194.265899668017</v>
      </c>
      <c r="M61" s="37">
        <f t="shared" si="21"/>
        <v>14342.269758006922</v>
      </c>
      <c r="N61" s="37">
        <f t="shared" si="21"/>
        <v>14493.791119536405</v>
      </c>
      <c r="O61" s="37">
        <f t="shared" si="21"/>
        <v>14645.167879005838</v>
      </c>
      <c r="P61" s="37">
        <f t="shared" si="21"/>
        <v>14798.033596686808</v>
      </c>
      <c r="Q61" s="37">
        <f t="shared" si="21"/>
        <v>14949.400819727389</v>
      </c>
      <c r="R61" s="37">
        <f t="shared" si="21"/>
        <v>15098.947116148112</v>
      </c>
      <c r="S61" s="37">
        <f t="shared" si="21"/>
        <v>15229.62138373173</v>
      </c>
      <c r="T61" s="37">
        <f t="shared" si="21"/>
        <v>15355.266727810391</v>
      </c>
      <c r="U61" s="37">
        <f t="shared" si="21"/>
        <v>15476.158825598215</v>
      </c>
      <c r="V61" s="37">
        <f t="shared" si="21"/>
        <v>15590.532975781667</v>
      </c>
      <c r="W61" s="37">
        <f t="shared" si="21"/>
        <v>15695.554279787786</v>
      </c>
      <c r="X61" s="37">
        <f t="shared" si="21"/>
        <v>15790.243602071083</v>
      </c>
      <c r="Y61" s="37">
        <f t="shared" si="21"/>
        <v>15878.653761582311</v>
      </c>
      <c r="Z61" s="37">
        <f t="shared" si="21"/>
        <v>15956.455245571853</v>
      </c>
      <c r="AA61" s="37">
        <f t="shared" si="21"/>
        <v>16023.587254658109</v>
      </c>
      <c r="AB61" s="37">
        <f t="shared" si="21"/>
        <v>16078.468642292724</v>
      </c>
    </row>
    <row r="62" spans="1:28" x14ac:dyDescent="0.25">
      <c r="A62" s="4" t="s">
        <v>219</v>
      </c>
      <c r="B62" s="37">
        <f t="shared" ref="B62:AB62" si="22">B42*B15*$F$8</f>
        <v>2037.0520100466272</v>
      </c>
      <c r="C62" s="37">
        <f t="shared" si="22"/>
        <v>2082.5314363392176</v>
      </c>
      <c r="D62" s="37">
        <f t="shared" si="22"/>
        <v>2126.0266821448877</v>
      </c>
      <c r="E62" s="37">
        <f t="shared" si="22"/>
        <v>2172.659064613415</v>
      </c>
      <c r="F62" s="37">
        <f t="shared" si="22"/>
        <v>2223.0578646958079</v>
      </c>
      <c r="G62" s="37">
        <f t="shared" si="22"/>
        <v>2277.1782736175328</v>
      </c>
      <c r="H62" s="37">
        <f t="shared" si="22"/>
        <v>2335.1741852995124</v>
      </c>
      <c r="I62" s="37">
        <f t="shared" si="22"/>
        <v>2389.1421088807756</v>
      </c>
      <c r="J62" s="37">
        <f t="shared" si="22"/>
        <v>2445.3816982031444</v>
      </c>
      <c r="K62" s="37">
        <f t="shared" si="22"/>
        <v>2503.3866793849274</v>
      </c>
      <c r="L62" s="37">
        <f t="shared" si="22"/>
        <v>2563.7808194074519</v>
      </c>
      <c r="M62" s="37">
        <f t="shared" si="22"/>
        <v>2626.0512506297864</v>
      </c>
      <c r="N62" s="37">
        <f t="shared" si="22"/>
        <v>2689.855102295287</v>
      </c>
      <c r="O62" s="37">
        <f t="shared" si="22"/>
        <v>2754.7146161229289</v>
      </c>
      <c r="P62" s="37">
        <f t="shared" si="22"/>
        <v>2820.3810313565991</v>
      </c>
      <c r="Q62" s="37">
        <f t="shared" si="22"/>
        <v>2886.3205676629404</v>
      </c>
      <c r="R62" s="37">
        <f t="shared" si="22"/>
        <v>2952.2726110365184</v>
      </c>
      <c r="S62" s="37">
        <f t="shared" si="22"/>
        <v>3014.3489704275262</v>
      </c>
      <c r="T62" s="37">
        <f t="shared" si="22"/>
        <v>3075.8373285583475</v>
      </c>
      <c r="U62" s="37">
        <f t="shared" si="22"/>
        <v>3136.0799869987773</v>
      </c>
      <c r="V62" s="37">
        <f t="shared" si="22"/>
        <v>3195.1905123893102</v>
      </c>
      <c r="W62" s="37">
        <f t="shared" si="22"/>
        <v>3252.9631896805195</v>
      </c>
      <c r="X62" s="37">
        <f t="shared" si="22"/>
        <v>3309.6805231602461</v>
      </c>
      <c r="Y62" s="37">
        <f t="shared" si="22"/>
        <v>3365.1290767928017</v>
      </c>
      <c r="Z62" s="37">
        <f t="shared" si="22"/>
        <v>3419.4157183113593</v>
      </c>
      <c r="AA62" s="37">
        <f t="shared" si="22"/>
        <v>3472.5046021172175</v>
      </c>
      <c r="AB62" s="37">
        <f t="shared" si="22"/>
        <v>3524.1461972163534</v>
      </c>
    </row>
    <row r="63" spans="1:28" x14ac:dyDescent="0.25">
      <c r="A63" s="4" t="s">
        <v>220</v>
      </c>
      <c r="B63" s="37">
        <f t="shared" ref="B63:AB63" si="23">B43*B15*$F$9</f>
        <v>1623.7902600150167</v>
      </c>
      <c r="C63" s="37">
        <f t="shared" si="23"/>
        <v>1657.7188816502642</v>
      </c>
      <c r="D63" s="37">
        <f t="shared" si="23"/>
        <v>1690.3253961045589</v>
      </c>
      <c r="E63" s="37">
        <f t="shared" si="23"/>
        <v>1726.0765623530554</v>
      </c>
      <c r="F63" s="37">
        <f t="shared" si="23"/>
        <v>1762.118804797504</v>
      </c>
      <c r="G63" s="37">
        <f t="shared" si="23"/>
        <v>1800.9687548525799</v>
      </c>
      <c r="H63" s="37">
        <f t="shared" si="23"/>
        <v>1840.9916322678869</v>
      </c>
      <c r="I63" s="37">
        <f t="shared" si="23"/>
        <v>1875.6102958145971</v>
      </c>
      <c r="J63" s="37">
        <f t="shared" si="23"/>
        <v>1910.8925812791233</v>
      </c>
      <c r="K63" s="37">
        <f t="shared" si="23"/>
        <v>1948.8834935346345</v>
      </c>
      <c r="L63" s="37">
        <f t="shared" si="23"/>
        <v>1987.6918537381257</v>
      </c>
      <c r="M63" s="37">
        <f t="shared" si="23"/>
        <v>2027.9144589395908</v>
      </c>
      <c r="N63" s="37">
        <f t="shared" si="23"/>
        <v>2068.6496431540422</v>
      </c>
      <c r="O63" s="37">
        <f t="shared" si="23"/>
        <v>2110.0544417892252</v>
      </c>
      <c r="P63" s="37">
        <f t="shared" si="23"/>
        <v>2152.673259916091</v>
      </c>
      <c r="Q63" s="37">
        <f t="shared" si="23"/>
        <v>2196.2120981310372</v>
      </c>
      <c r="R63" s="37">
        <f t="shared" si="23"/>
        <v>2240.2426888417776</v>
      </c>
      <c r="S63" s="37">
        <f t="shared" si="23"/>
        <v>2281.5228188486208</v>
      </c>
      <c r="T63" s="37">
        <f t="shared" si="23"/>
        <v>2323.1366013937482</v>
      </c>
      <c r="U63" s="37">
        <f t="shared" si="23"/>
        <v>2364.470538294971</v>
      </c>
      <c r="V63" s="37">
        <f t="shared" si="23"/>
        <v>2404.845244874482</v>
      </c>
      <c r="W63" s="37">
        <f t="shared" si="23"/>
        <v>2445.7310572518868</v>
      </c>
      <c r="X63" s="37">
        <f t="shared" si="23"/>
        <v>2485.9444159609034</v>
      </c>
      <c r="Y63" s="37">
        <f t="shared" si="23"/>
        <v>2526.1923087909672</v>
      </c>
      <c r="Z63" s="37">
        <f t="shared" si="23"/>
        <v>2565.5025120207483</v>
      </c>
      <c r="AA63" s="37">
        <f t="shared" si="23"/>
        <v>2604.2555768415873</v>
      </c>
      <c r="AB63" s="37">
        <f t="shared" si="23"/>
        <v>2642.8456055982879</v>
      </c>
    </row>
    <row r="64" spans="1:28" x14ac:dyDescent="0.25">
      <c r="A64" s="4" t="s">
        <v>221</v>
      </c>
      <c r="B64" s="37">
        <f t="shared" ref="B64:AB64" si="24">B44*B15*$F$10</f>
        <v>2336.7612607683095</v>
      </c>
      <c r="C64" s="37">
        <f t="shared" si="24"/>
        <v>2416.2828577144082</v>
      </c>
      <c r="D64" s="37">
        <f t="shared" si="24"/>
        <v>2493.2889707831864</v>
      </c>
      <c r="E64" s="37">
        <f t="shared" si="24"/>
        <v>2572.1326677360412</v>
      </c>
      <c r="F64" s="37">
        <f t="shared" si="24"/>
        <v>2652.8477356199351</v>
      </c>
      <c r="G64" s="37">
        <f t="shared" si="24"/>
        <v>2735.7633287576605</v>
      </c>
      <c r="H64" s="37">
        <f t="shared" si="24"/>
        <v>2821.7773746553644</v>
      </c>
      <c r="I64" s="37">
        <f t="shared" si="24"/>
        <v>2901.2912408325797</v>
      </c>
      <c r="J64" s="37">
        <f t="shared" si="24"/>
        <v>2982.6238723618603</v>
      </c>
      <c r="K64" s="37">
        <f t="shared" si="24"/>
        <v>3066.4461898486275</v>
      </c>
      <c r="L64" s="37">
        <f t="shared" si="24"/>
        <v>3153.2577143274343</v>
      </c>
      <c r="M64" s="37">
        <f t="shared" si="24"/>
        <v>3242.2647397279979</v>
      </c>
      <c r="N64" s="37">
        <f t="shared" si="24"/>
        <v>3334.290921744901</v>
      </c>
      <c r="O64" s="37">
        <f t="shared" si="24"/>
        <v>3428.7588169874384</v>
      </c>
      <c r="P64" s="37">
        <f t="shared" si="24"/>
        <v>3525.4995019021349</v>
      </c>
      <c r="Q64" s="37">
        <f t="shared" si="24"/>
        <v>3624.6516447544859</v>
      </c>
      <c r="R64" s="37">
        <f t="shared" si="24"/>
        <v>3725.4689054663586</v>
      </c>
      <c r="S64" s="37">
        <f t="shared" si="24"/>
        <v>3823.6291034272185</v>
      </c>
      <c r="T64" s="37">
        <f t="shared" si="24"/>
        <v>3923.1011327265442</v>
      </c>
      <c r="U64" s="37">
        <f t="shared" si="24"/>
        <v>4023.6072034465487</v>
      </c>
      <c r="V64" s="37">
        <f t="shared" si="24"/>
        <v>4124.5987388169669</v>
      </c>
      <c r="W64" s="37">
        <f t="shared" si="24"/>
        <v>4225.4992726532828</v>
      </c>
      <c r="X64" s="37">
        <f t="shared" si="24"/>
        <v>4326.8139287955637</v>
      </c>
      <c r="Y64" s="37">
        <f t="shared" si="24"/>
        <v>4427.664688663669</v>
      </c>
      <c r="Z64" s="37">
        <f t="shared" si="24"/>
        <v>4527.9886096248983</v>
      </c>
      <c r="AA64" s="37">
        <f t="shared" si="24"/>
        <v>4626.7687140527732</v>
      </c>
      <c r="AB64" s="37">
        <f t="shared" si="24"/>
        <v>4723.8838941680169</v>
      </c>
    </row>
    <row r="65" spans="1:28" x14ac:dyDescent="0.25">
      <c r="A65" s="4" t="s">
        <v>222</v>
      </c>
      <c r="B65" s="37">
        <f t="shared" ref="B65:AB65" si="25">B45*B15*$F$11</f>
        <v>109827.88047731461</v>
      </c>
      <c r="C65" s="37">
        <f t="shared" si="25"/>
        <v>111364.9932951026</v>
      </c>
      <c r="D65" s="37">
        <f t="shared" si="25"/>
        <v>112701.28900485461</v>
      </c>
      <c r="E65" s="37">
        <f t="shared" si="25"/>
        <v>114057.69303353861</v>
      </c>
      <c r="F65" s="37">
        <f t="shared" si="25"/>
        <v>115456.68181999061</v>
      </c>
      <c r="G65" s="37">
        <f t="shared" si="25"/>
        <v>116901.84889774235</v>
      </c>
      <c r="H65" s="37">
        <f t="shared" si="25"/>
        <v>118390.25154440029</v>
      </c>
      <c r="I65" s="37">
        <f t="shared" si="25"/>
        <v>119514.84842186338</v>
      </c>
      <c r="J65" s="37">
        <f t="shared" si="25"/>
        <v>120654.56210298555</v>
      </c>
      <c r="K65" s="37">
        <f t="shared" si="25"/>
        <v>121788.51930517628</v>
      </c>
      <c r="L65" s="37">
        <f t="shared" si="25"/>
        <v>122907.27996725238</v>
      </c>
      <c r="M65" s="37">
        <f t="shared" si="25"/>
        <v>124009.27340348158</v>
      </c>
      <c r="N65" s="37">
        <f t="shared" si="25"/>
        <v>125069.46047413976</v>
      </c>
      <c r="O65" s="37">
        <f t="shared" si="25"/>
        <v>126074.57301784758</v>
      </c>
      <c r="P65" s="37">
        <f t="shared" si="25"/>
        <v>127013.71194464054</v>
      </c>
      <c r="Q65" s="37">
        <f t="shared" si="25"/>
        <v>127866.3449001415</v>
      </c>
      <c r="R65" s="37">
        <f t="shared" si="25"/>
        <v>128620.25872642797</v>
      </c>
      <c r="S65" s="37">
        <f t="shared" si="25"/>
        <v>129119.00450087839</v>
      </c>
      <c r="T65" s="37">
        <f t="shared" si="25"/>
        <v>129498.71717599577</v>
      </c>
      <c r="U65" s="37">
        <f t="shared" si="25"/>
        <v>129759.17078622796</v>
      </c>
      <c r="V65" s="37">
        <f t="shared" si="25"/>
        <v>129869.66963034429</v>
      </c>
      <c r="W65" s="37">
        <f t="shared" si="25"/>
        <v>129823.8852922091</v>
      </c>
      <c r="X65" s="37">
        <f t="shared" si="25"/>
        <v>129620.90431705414</v>
      </c>
      <c r="Y65" s="37">
        <f t="shared" si="25"/>
        <v>129331.21029221546</v>
      </c>
      <c r="Z65" s="37">
        <f t="shared" si="25"/>
        <v>128896.72033267656</v>
      </c>
      <c r="AA65" s="37">
        <f t="shared" si="25"/>
        <v>128316.33201813501</v>
      </c>
      <c r="AB65" s="37">
        <f t="shared" si="25"/>
        <v>127599.84651840052</v>
      </c>
    </row>
    <row r="67" spans="1:28" x14ac:dyDescent="0.25">
      <c r="A67" s="4" t="s">
        <v>328</v>
      </c>
    </row>
    <row r="68" spans="1:28" x14ac:dyDescent="0.25">
      <c r="A68" s="4" t="s">
        <v>329</v>
      </c>
      <c r="B68" s="40">
        <f t="shared" ref="B68:AB68" si="26">B48+B49</f>
        <v>595.89389218338579</v>
      </c>
      <c r="C68" s="40">
        <f t="shared" si="26"/>
        <v>591.24636905709917</v>
      </c>
      <c r="D68" s="40">
        <f t="shared" si="26"/>
        <v>585.65842251885124</v>
      </c>
      <c r="E68" s="40">
        <f t="shared" si="26"/>
        <v>580.1381466714688</v>
      </c>
      <c r="F68" s="40">
        <f t="shared" si="26"/>
        <v>574.58441180834302</v>
      </c>
      <c r="G68" s="40">
        <f t="shared" si="26"/>
        <v>569.06834347200538</v>
      </c>
      <c r="H68" s="40">
        <f t="shared" si="26"/>
        <v>563.55853145967012</v>
      </c>
      <c r="I68" s="40">
        <f t="shared" si="26"/>
        <v>556.24537339297467</v>
      </c>
      <c r="J68" s="40">
        <f t="shared" si="26"/>
        <v>548.95836391174714</v>
      </c>
      <c r="K68" s="40">
        <f t="shared" si="26"/>
        <v>541.64048019603933</v>
      </c>
      <c r="L68" s="40">
        <f t="shared" si="26"/>
        <v>534.32897944386764</v>
      </c>
      <c r="M68" s="40">
        <f t="shared" si="26"/>
        <v>526.98726376485763</v>
      </c>
      <c r="N68" s="40">
        <f t="shared" si="26"/>
        <v>519.68244562347809</v>
      </c>
      <c r="O68" s="40">
        <f t="shared" si="26"/>
        <v>512.28245993531038</v>
      </c>
      <c r="P68" s="40">
        <f t="shared" si="26"/>
        <v>504.7820928707917</v>
      </c>
      <c r="Q68" s="40">
        <f t="shared" si="26"/>
        <v>497.28305135813855</v>
      </c>
      <c r="R68" s="40">
        <f t="shared" si="26"/>
        <v>489.71352567605447</v>
      </c>
      <c r="S68" s="40">
        <f t="shared" si="26"/>
        <v>481.62855754845373</v>
      </c>
      <c r="T68" s="40">
        <f t="shared" si="26"/>
        <v>473.6123512456827</v>
      </c>
      <c r="U68" s="40">
        <f t="shared" si="26"/>
        <v>465.72385360763747</v>
      </c>
      <c r="V68" s="40">
        <f t="shared" si="26"/>
        <v>458.01957251513744</v>
      </c>
      <c r="W68" s="40">
        <f t="shared" si="26"/>
        <v>450.48902924337148</v>
      </c>
      <c r="X68" s="40">
        <f t="shared" si="26"/>
        <v>443.28258867252947</v>
      </c>
      <c r="Y68" s="40">
        <f t="shared" si="26"/>
        <v>436.29650687764399</v>
      </c>
      <c r="Z68" s="40">
        <f t="shared" si="26"/>
        <v>429.51982387551794</v>
      </c>
      <c r="AA68" s="40">
        <f t="shared" si="26"/>
        <v>422.94468044399332</v>
      </c>
      <c r="AB68" s="40">
        <f t="shared" si="26"/>
        <v>416.62671571871402</v>
      </c>
    </row>
    <row r="69" spans="1:28" x14ac:dyDescent="0.25">
      <c r="A69" s="4" t="s">
        <v>330</v>
      </c>
      <c r="B69" s="40">
        <f t="shared" ref="B69:AB69" si="27">B50+B51+B52+B53</f>
        <v>585.3256549194864</v>
      </c>
      <c r="C69" s="40">
        <f t="shared" si="27"/>
        <v>580.35310952922146</v>
      </c>
      <c r="D69" s="40">
        <f t="shared" si="27"/>
        <v>574.49316155597035</v>
      </c>
      <c r="E69" s="40">
        <f t="shared" si="27"/>
        <v>568.65678030624895</v>
      </c>
      <c r="F69" s="40">
        <f t="shared" si="27"/>
        <v>562.79611794956406</v>
      </c>
      <c r="G69" s="40">
        <f t="shared" si="27"/>
        <v>556.99434491483896</v>
      </c>
      <c r="H69" s="40">
        <f t="shared" si="27"/>
        <v>551.14636844828669</v>
      </c>
      <c r="I69" s="40">
        <f t="shared" si="27"/>
        <v>543.58310415740073</v>
      </c>
      <c r="J69" s="40">
        <f t="shared" si="27"/>
        <v>536.02288212448889</v>
      </c>
      <c r="K69" s="40">
        <f t="shared" si="27"/>
        <v>528.42101296995031</v>
      </c>
      <c r="L69" s="40">
        <f t="shared" si="27"/>
        <v>520.8386994591109</v>
      </c>
      <c r="M69" s="40">
        <f t="shared" si="27"/>
        <v>513.24774695997587</v>
      </c>
      <c r="N69" s="40">
        <f t="shared" si="27"/>
        <v>505.66297705950313</v>
      </c>
      <c r="O69" s="40">
        <f t="shared" si="27"/>
        <v>497.983207158695</v>
      </c>
      <c r="P69" s="40">
        <f t="shared" si="27"/>
        <v>490.23505447477834</v>
      </c>
      <c r="Q69" s="40">
        <f t="shared" si="27"/>
        <v>482.47862605441657</v>
      </c>
      <c r="R69" s="40">
        <f t="shared" si="27"/>
        <v>474.67593777894825</v>
      </c>
      <c r="S69" s="40">
        <f t="shared" si="27"/>
        <v>466.36054658379061</v>
      </c>
      <c r="T69" s="40">
        <f t="shared" si="27"/>
        <v>458.13805459031556</v>
      </c>
      <c r="U69" s="40">
        <f t="shared" si="27"/>
        <v>450.05744206402278</v>
      </c>
      <c r="V69" s="40">
        <f t="shared" si="27"/>
        <v>442.16569841231706</v>
      </c>
      <c r="W69" s="40">
        <f t="shared" si="27"/>
        <v>434.45460996231844</v>
      </c>
      <c r="X69" s="40">
        <f t="shared" si="27"/>
        <v>427.07420927973936</v>
      </c>
      <c r="Y69" s="40">
        <f t="shared" si="27"/>
        <v>419.91366992451685</v>
      </c>
      <c r="Z69" s="40">
        <f t="shared" si="27"/>
        <v>412.97404187734156</v>
      </c>
      <c r="AA69" s="40">
        <f t="shared" si="27"/>
        <v>406.27618351812538</v>
      </c>
      <c r="AB69" s="40">
        <f t="shared" si="27"/>
        <v>399.81165451337239</v>
      </c>
    </row>
    <row r="70" spans="1:28" x14ac:dyDescent="0.25">
      <c r="A70" s="4" t="s">
        <v>331</v>
      </c>
      <c r="B70" s="40">
        <f t="shared" ref="B70:AB70" si="28">B54+B55</f>
        <v>578.84762563892195</v>
      </c>
      <c r="C70" s="40">
        <f t="shared" si="28"/>
        <v>572.99828802260618</v>
      </c>
      <c r="D70" s="40">
        <f t="shared" si="28"/>
        <v>566.17122841210767</v>
      </c>
      <c r="E70" s="40">
        <f t="shared" si="28"/>
        <v>559.37800525642353</v>
      </c>
      <c r="F70" s="40">
        <f t="shared" si="28"/>
        <v>552.43441244587439</v>
      </c>
      <c r="G70" s="40">
        <f t="shared" si="28"/>
        <v>545.64659875851055</v>
      </c>
      <c r="H70" s="40">
        <f t="shared" si="28"/>
        <v>538.88024029126711</v>
      </c>
      <c r="I70" s="40">
        <f t="shared" si="28"/>
        <v>530.41817644257321</v>
      </c>
      <c r="J70" s="40">
        <f t="shared" si="28"/>
        <v>522.02692235988866</v>
      </c>
      <c r="K70" s="40">
        <f t="shared" si="28"/>
        <v>513.64574622048633</v>
      </c>
      <c r="L70" s="40">
        <f t="shared" si="28"/>
        <v>505.34551537389797</v>
      </c>
      <c r="M70" s="40">
        <f t="shared" si="28"/>
        <v>497.08438332046865</v>
      </c>
      <c r="N70" s="40">
        <f t="shared" si="28"/>
        <v>488.94004063640847</v>
      </c>
      <c r="O70" s="40">
        <f t="shared" si="28"/>
        <v>480.75110459113506</v>
      </c>
      <c r="P70" s="40">
        <f t="shared" si="28"/>
        <v>472.60772106270684</v>
      </c>
      <c r="Q70" s="40">
        <f t="shared" si="28"/>
        <v>464.53266832355979</v>
      </c>
      <c r="R70" s="40">
        <f t="shared" si="28"/>
        <v>456.53412112793927</v>
      </c>
      <c r="S70" s="40">
        <f t="shared" si="28"/>
        <v>448.0384289113963</v>
      </c>
      <c r="T70" s="40">
        <f t="shared" si="28"/>
        <v>439.72010481173339</v>
      </c>
      <c r="U70" s="40">
        <f t="shared" si="28"/>
        <v>431.64804478576798</v>
      </c>
      <c r="V70" s="40">
        <f t="shared" si="28"/>
        <v>423.7696680354199</v>
      </c>
      <c r="W70" s="40">
        <f t="shared" si="28"/>
        <v>416.22321681340145</v>
      </c>
      <c r="X70" s="40">
        <f t="shared" si="28"/>
        <v>408.89249372516338</v>
      </c>
      <c r="Y70" s="40">
        <f t="shared" si="28"/>
        <v>401.83251734462795</v>
      </c>
      <c r="Z70" s="40">
        <f t="shared" si="28"/>
        <v>395.00435385825602</v>
      </c>
      <c r="AA70" s="40">
        <f t="shared" si="28"/>
        <v>388.36994440077927</v>
      </c>
      <c r="AB70" s="40">
        <f t="shared" si="28"/>
        <v>381.96715170915462</v>
      </c>
    </row>
    <row r="71" spans="1:28" x14ac:dyDescent="0.25">
      <c r="A71" s="4" t="s">
        <v>332</v>
      </c>
      <c r="B71" s="40">
        <f t="shared" ref="B71:AB71" si="29">B58+B59</f>
        <v>102014.340761864</v>
      </c>
      <c r="C71" s="40">
        <f t="shared" si="29"/>
        <v>103618.04838161153</v>
      </c>
      <c r="D71" s="40">
        <f t="shared" si="29"/>
        <v>105041.87470558174</v>
      </c>
      <c r="E71" s="40">
        <f t="shared" si="29"/>
        <v>106489.82578266537</v>
      </c>
      <c r="F71" s="40">
        <f t="shared" si="29"/>
        <v>107981.1510367335</v>
      </c>
      <c r="G71" s="40">
        <f t="shared" si="29"/>
        <v>109520.14642422962</v>
      </c>
      <c r="H71" s="40">
        <f t="shared" si="29"/>
        <v>111107.74207256378</v>
      </c>
      <c r="I71" s="40">
        <f t="shared" si="29"/>
        <v>112362.31195832504</v>
      </c>
      <c r="J71" s="40">
        <f t="shared" si="29"/>
        <v>113636.80391316643</v>
      </c>
      <c r="K71" s="40">
        <f t="shared" si="29"/>
        <v>114915.96901014772</v>
      </c>
      <c r="L71" s="40">
        <f t="shared" si="29"/>
        <v>116193.69564992224</v>
      </c>
      <c r="M71" s="40">
        <f t="shared" si="29"/>
        <v>117465.64297969008</v>
      </c>
      <c r="N71" s="40">
        <f t="shared" si="29"/>
        <v>118713.63635923679</v>
      </c>
      <c r="O71" s="40">
        <f t="shared" si="29"/>
        <v>119924.19126356013</v>
      </c>
      <c r="P71" s="40">
        <f t="shared" si="29"/>
        <v>121087.44407338704</v>
      </c>
      <c r="Q71" s="40">
        <f t="shared" si="29"/>
        <v>122186.41940342294</v>
      </c>
      <c r="R71" s="40">
        <f t="shared" si="29"/>
        <v>123207.95869103519</v>
      </c>
      <c r="S71" s="40">
        <f t="shared" si="29"/>
        <v>124002.92861606673</v>
      </c>
      <c r="T71" s="40">
        <f t="shared" si="29"/>
        <v>124701.82563243317</v>
      </c>
      <c r="U71" s="40">
        <f t="shared" si="29"/>
        <v>125303.36755095824</v>
      </c>
      <c r="V71" s="40">
        <f t="shared" si="29"/>
        <v>125779.43865778652</v>
      </c>
      <c r="W71" s="40">
        <f t="shared" si="29"/>
        <v>126122.41719285812</v>
      </c>
      <c r="X71" s="40">
        <f t="shared" si="29"/>
        <v>126333.46682427728</v>
      </c>
      <c r="Y71" s="40">
        <f t="shared" si="29"/>
        <v>126469.11287116926</v>
      </c>
      <c r="Z71" s="40">
        <f t="shared" si="29"/>
        <v>126479.80290801954</v>
      </c>
      <c r="AA71" s="40">
        <f t="shared" si="29"/>
        <v>126360.70166794959</v>
      </c>
      <c r="AB71" s="40">
        <f t="shared" si="29"/>
        <v>126119.65055267456</v>
      </c>
    </row>
    <row r="72" spans="1:28" x14ac:dyDescent="0.25">
      <c r="A72" s="4" t="s">
        <v>333</v>
      </c>
      <c r="B72" s="40">
        <f t="shared" ref="B72:AB72" si="30">B60+B61+B62+B63</f>
        <v>104413.27124715083</v>
      </c>
      <c r="C72" s="40">
        <f t="shared" si="30"/>
        <v>106035.69623483358</v>
      </c>
      <c r="D72" s="40">
        <f t="shared" si="30"/>
        <v>107471.04782498402</v>
      </c>
      <c r="E72" s="40">
        <f t="shared" si="30"/>
        <v>108926.24803167317</v>
      </c>
      <c r="F72" s="40">
        <f t="shared" si="30"/>
        <v>110422.23342873248</v>
      </c>
      <c r="G72" s="40">
        <f t="shared" si="30"/>
        <v>111962.22601366001</v>
      </c>
      <c r="H72" s="40">
        <f t="shared" si="30"/>
        <v>113547.90313068349</v>
      </c>
      <c r="I72" s="40">
        <f t="shared" si="30"/>
        <v>114789.13330812917</v>
      </c>
      <c r="J72" s="40">
        <f t="shared" si="30"/>
        <v>116047.82693738812</v>
      </c>
      <c r="K72" s="40">
        <f t="shared" si="30"/>
        <v>117307.36886800053</v>
      </c>
      <c r="L72" s="40">
        <f t="shared" si="30"/>
        <v>118561.48442795497</v>
      </c>
      <c r="M72" s="40">
        <f t="shared" si="30"/>
        <v>119805.9266154349</v>
      </c>
      <c r="N72" s="40">
        <f t="shared" si="30"/>
        <v>121022.2208451749</v>
      </c>
      <c r="O72" s="40">
        <f t="shared" si="30"/>
        <v>122196.82036587271</v>
      </c>
      <c r="P72" s="40">
        <f t="shared" si="30"/>
        <v>123319.07180801556</v>
      </c>
      <c r="Q72" s="40">
        <f t="shared" si="30"/>
        <v>124372.00219151126</v>
      </c>
      <c r="R72" s="40">
        <f t="shared" si="30"/>
        <v>125342.14133250226</v>
      </c>
      <c r="S72" s="40">
        <f t="shared" si="30"/>
        <v>126078.42661077071</v>
      </c>
      <c r="T72" s="40">
        <f t="shared" si="30"/>
        <v>126713.19159426038</v>
      </c>
      <c r="U72" s="40">
        <f t="shared" si="30"/>
        <v>127246.25171196589</v>
      </c>
      <c r="V72" s="40">
        <f t="shared" si="30"/>
        <v>127647.9843684996</v>
      </c>
      <c r="W72" s="40">
        <f t="shared" si="30"/>
        <v>127910.00452704453</v>
      </c>
      <c r="X72" s="40">
        <f t="shared" si="30"/>
        <v>128033.88778834371</v>
      </c>
      <c r="Y72" s="40">
        <f t="shared" si="30"/>
        <v>128079.46457096959</v>
      </c>
      <c r="Z72" s="40">
        <f t="shared" si="30"/>
        <v>127994.64133779041</v>
      </c>
      <c r="AA72" s="40">
        <f t="shared" si="30"/>
        <v>127774.17004772658</v>
      </c>
      <c r="AB72" s="40">
        <f t="shared" si="30"/>
        <v>127426.64647814652</v>
      </c>
    </row>
    <row r="73" spans="1:28" x14ac:dyDescent="0.25">
      <c r="A73" s="4" t="s">
        <v>334</v>
      </c>
      <c r="B73" s="40">
        <f t="shared" ref="B73:AB73" si="31">B64+B65</f>
        <v>112164.64173808292</v>
      </c>
      <c r="C73" s="40">
        <f t="shared" si="31"/>
        <v>113781.27615281701</v>
      </c>
      <c r="D73" s="40">
        <f t="shared" si="31"/>
        <v>115194.5779756378</v>
      </c>
      <c r="E73" s="40">
        <f t="shared" si="31"/>
        <v>116629.82570127465</v>
      </c>
      <c r="F73" s="40">
        <f t="shared" si="31"/>
        <v>118109.52955561054</v>
      </c>
      <c r="G73" s="40">
        <f t="shared" si="31"/>
        <v>119637.61222650002</v>
      </c>
      <c r="H73" s="40">
        <f t="shared" si="31"/>
        <v>121212.02891905565</v>
      </c>
      <c r="I73" s="40">
        <f t="shared" si="31"/>
        <v>122416.13966269596</v>
      </c>
      <c r="J73" s="40">
        <f t="shared" si="31"/>
        <v>123637.18597534741</v>
      </c>
      <c r="K73" s="40">
        <f t="shared" si="31"/>
        <v>124854.96549502491</v>
      </c>
      <c r="L73" s="40">
        <f t="shared" si="31"/>
        <v>126060.53768157982</v>
      </c>
      <c r="M73" s="40">
        <f t="shared" si="31"/>
        <v>127251.53814320957</v>
      </c>
      <c r="N73" s="40">
        <f t="shared" si="31"/>
        <v>128403.75139588467</v>
      </c>
      <c r="O73" s="40">
        <f t="shared" si="31"/>
        <v>129503.33183483501</v>
      </c>
      <c r="P73" s="40">
        <f t="shared" si="31"/>
        <v>130539.21144654267</v>
      </c>
      <c r="Q73" s="40">
        <f t="shared" si="31"/>
        <v>131490.99654489598</v>
      </c>
      <c r="R73" s="40">
        <f t="shared" si="31"/>
        <v>132345.72763189432</v>
      </c>
      <c r="S73" s="40">
        <f t="shared" si="31"/>
        <v>132942.63360430562</v>
      </c>
      <c r="T73" s="40">
        <f t="shared" si="31"/>
        <v>133421.81830872232</v>
      </c>
      <c r="U73" s="40">
        <f t="shared" si="31"/>
        <v>133782.77798967451</v>
      </c>
      <c r="V73" s="40">
        <f t="shared" si="31"/>
        <v>133994.26836916126</v>
      </c>
      <c r="W73" s="40">
        <f t="shared" si="31"/>
        <v>134049.38456486238</v>
      </c>
      <c r="X73" s="40">
        <f t="shared" si="31"/>
        <v>133947.71824584971</v>
      </c>
      <c r="Y73" s="40">
        <f t="shared" si="31"/>
        <v>133758.87498087913</v>
      </c>
      <c r="Z73" s="40">
        <f t="shared" si="31"/>
        <v>133424.70894230145</v>
      </c>
      <c r="AA73" s="40">
        <f t="shared" si="31"/>
        <v>132943.1007321878</v>
      </c>
      <c r="AB73" s="40">
        <f t="shared" si="31"/>
        <v>132323.73041256855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330.14898783292699</v>
      </c>
      <c r="C2" s="37">
        <f>BDbDT_calcs!C48</f>
        <v>327.26810427528625</v>
      </c>
      <c r="D2" s="37">
        <f>BDbDT_calcs!D48</f>
        <v>323.85228812377278</v>
      </c>
      <c r="E2" s="37">
        <f>BDbDT_calcs!E48</f>
        <v>320.49509328867185</v>
      </c>
      <c r="F2" s="37">
        <f>BDbDT_calcs!F48</f>
        <v>317.12863644555443</v>
      </c>
      <c r="G2" s="37">
        <f>BDbDT_calcs!G48</f>
        <v>313.75333313093324</v>
      </c>
      <c r="H2" s="37">
        <f>BDbDT_calcs!H48</f>
        <v>310.37119061242799</v>
      </c>
      <c r="I2" s="37">
        <f>BDbDT_calcs!I48</f>
        <v>306.14057387752365</v>
      </c>
      <c r="J2" s="37">
        <f>BDbDT_calcs!J48</f>
        <v>301.76161349197866</v>
      </c>
      <c r="K2" s="37">
        <f>BDbDT_calcs!K48</f>
        <v>297.49825215137059</v>
      </c>
      <c r="L2" s="37">
        <f>BDbDT_calcs!L48</f>
        <v>293.11145968043223</v>
      </c>
      <c r="M2" s="37">
        <f>BDbDT_calcs!M48</f>
        <v>288.83904652557436</v>
      </c>
      <c r="N2" s="37">
        <f>BDbDT_calcs!N48</f>
        <v>284.71246347088879</v>
      </c>
      <c r="O2" s="37">
        <f>BDbDT_calcs!O48</f>
        <v>280.26080787627137</v>
      </c>
      <c r="P2" s="37">
        <f>BDbDT_calcs!P48</f>
        <v>275.9869353632389</v>
      </c>
      <c r="Q2" s="37">
        <f>BDbDT_calcs!Q48</f>
        <v>271.58834437264193</v>
      </c>
      <c r="R2" s="37">
        <f>BDbDT_calcs!R48</f>
        <v>267.22976405122313</v>
      </c>
      <c r="S2" s="37">
        <f>BDbDT_calcs!S48</f>
        <v>262.54706829129725</v>
      </c>
      <c r="T2" s="37">
        <f>BDbDT_calcs!T48</f>
        <v>257.94050980669232</v>
      </c>
      <c r="U2" s="37">
        <f>BDbDT_calcs!U48</f>
        <v>253.40573099903094</v>
      </c>
      <c r="V2" s="37">
        <f>BDbDT_calcs!V48</f>
        <v>248.9377273543368</v>
      </c>
      <c r="W2" s="37">
        <f>BDbDT_calcs!W48</f>
        <v>244.56363320992023</v>
      </c>
      <c r="X2" s="37">
        <f>BDbDT_calcs!X48</f>
        <v>240.5031910226289</v>
      </c>
      <c r="Y2" s="37">
        <f>BDbDT_calcs!Y48</f>
        <v>236.49339043773725</v>
      </c>
      <c r="Z2" s="37">
        <f>BDbDT_calcs!Z48</f>
        <v>232.68942892294731</v>
      </c>
      <c r="AA2" s="37">
        <f>BDbDT_calcs!AA48</f>
        <v>228.95815481831991</v>
      </c>
      <c r="AB2" s="37">
        <f>BDbDT_calcs!AB48</f>
        <v>225.26370737655819</v>
      </c>
    </row>
    <row r="3" spans="1:28" x14ac:dyDescent="0.25">
      <c r="A3" s="4" t="s">
        <v>216</v>
      </c>
      <c r="B3" s="37">
        <f>BDbDT_calcs!B49</f>
        <v>265.74490435045874</v>
      </c>
      <c r="C3" s="37">
        <f>BDbDT_calcs!C49</f>
        <v>263.97826478181298</v>
      </c>
      <c r="D3" s="37">
        <f>BDbDT_calcs!D49</f>
        <v>261.80613439507852</v>
      </c>
      <c r="E3" s="37">
        <f>BDbDT_calcs!E49</f>
        <v>259.64305338279701</v>
      </c>
      <c r="F3" s="37">
        <f>BDbDT_calcs!F49</f>
        <v>257.45577536278853</v>
      </c>
      <c r="G3" s="37">
        <f>BDbDT_calcs!G49</f>
        <v>255.31501034107208</v>
      </c>
      <c r="H3" s="37">
        <f>BDbDT_calcs!H49</f>
        <v>253.18734084724215</v>
      </c>
      <c r="I3" s="37">
        <f>BDbDT_calcs!I49</f>
        <v>250.10479951545102</v>
      </c>
      <c r="J3" s="37">
        <f>BDbDT_calcs!J49</f>
        <v>247.19675041976848</v>
      </c>
      <c r="K3" s="37">
        <f>BDbDT_calcs!K49</f>
        <v>244.14222804466868</v>
      </c>
      <c r="L3" s="37">
        <f>BDbDT_calcs!L49</f>
        <v>241.2175197634354</v>
      </c>
      <c r="M3" s="37">
        <f>BDbDT_calcs!M49</f>
        <v>238.14821723928327</v>
      </c>
      <c r="N3" s="37">
        <f>BDbDT_calcs!N49</f>
        <v>234.96998215258932</v>
      </c>
      <c r="O3" s="37">
        <f>BDbDT_calcs!O49</f>
        <v>232.02165205903904</v>
      </c>
      <c r="P3" s="37">
        <f>BDbDT_calcs!P49</f>
        <v>228.7951575075528</v>
      </c>
      <c r="Q3" s="37">
        <f>BDbDT_calcs!Q49</f>
        <v>225.69470698549662</v>
      </c>
      <c r="R3" s="37">
        <f>BDbDT_calcs!R49</f>
        <v>222.48376162483132</v>
      </c>
      <c r="S3" s="37">
        <f>BDbDT_calcs!S49</f>
        <v>219.08148925715648</v>
      </c>
      <c r="T3" s="37">
        <f>BDbDT_calcs!T49</f>
        <v>215.67184143899041</v>
      </c>
      <c r="U3" s="37">
        <f>BDbDT_calcs!U49</f>
        <v>212.31812260860656</v>
      </c>
      <c r="V3" s="37">
        <f>BDbDT_calcs!V49</f>
        <v>209.08184516080064</v>
      </c>
      <c r="W3" s="37">
        <f>BDbDT_calcs!W49</f>
        <v>205.92539603345125</v>
      </c>
      <c r="X3" s="37">
        <f>BDbDT_calcs!X49</f>
        <v>202.77939764990057</v>
      </c>
      <c r="Y3" s="37">
        <f>BDbDT_calcs!Y49</f>
        <v>199.80311643990677</v>
      </c>
      <c r="Z3" s="37">
        <f>BDbDT_calcs!Z49</f>
        <v>196.83039495257063</v>
      </c>
      <c r="AA3" s="37">
        <f>BDbDT_calcs!AA49</f>
        <v>193.98652562567341</v>
      </c>
      <c r="AB3" s="37">
        <f>BDbDT_calcs!AB49</f>
        <v>191.36300834215584</v>
      </c>
    </row>
    <row r="4" spans="1:28" x14ac:dyDescent="0.25">
      <c r="A4" s="4" t="s">
        <v>217</v>
      </c>
      <c r="B4" s="37">
        <f>BDbDT_calcs!B50</f>
        <v>370.49942421842707</v>
      </c>
      <c r="C4" s="37">
        <f>BDbDT_calcs!C50</f>
        <v>367.61826912355076</v>
      </c>
      <c r="D4" s="37">
        <f>BDbDT_calcs!D50</f>
        <v>364.21151710411823</v>
      </c>
      <c r="E4" s="37">
        <f>BDbDT_calcs!E50</f>
        <v>360.79368606433235</v>
      </c>
      <c r="F4" s="37">
        <f>BDbDT_calcs!F50</f>
        <v>357.40461697210867</v>
      </c>
      <c r="G4" s="37">
        <f>BDbDT_calcs!G50</f>
        <v>354.08181159395281</v>
      </c>
      <c r="H4" s="37">
        <f>BDbDT_calcs!H50</f>
        <v>350.67890286077096</v>
      </c>
      <c r="I4" s="37">
        <f>BDbDT_calcs!I50</f>
        <v>346.23439406652312</v>
      </c>
      <c r="J4" s="37">
        <f>BDbDT_calcs!J50</f>
        <v>341.70624951368615</v>
      </c>
      <c r="K4" s="37">
        <f>BDbDT_calcs!K50</f>
        <v>337.12004161072304</v>
      </c>
      <c r="L4" s="37">
        <f>BDbDT_calcs!L50</f>
        <v>332.44048416047008</v>
      </c>
      <c r="M4" s="37">
        <f>BDbDT_calcs!M50</f>
        <v>327.668752684845</v>
      </c>
      <c r="N4" s="37">
        <f>BDbDT_calcs!N50</f>
        <v>322.80553240286127</v>
      </c>
      <c r="O4" s="37">
        <f>BDbDT_calcs!O50</f>
        <v>317.7438261851558</v>
      </c>
      <c r="P4" s="37">
        <f>BDbDT_calcs!P50</f>
        <v>312.62772260413874</v>
      </c>
      <c r="Q4" s="37">
        <f>BDbDT_calcs!Q50</f>
        <v>307.42037757510974</v>
      </c>
      <c r="R4" s="37">
        <f>BDbDT_calcs!R50</f>
        <v>302.12048804700083</v>
      </c>
      <c r="S4" s="37">
        <f>BDbDT_calcs!S50</f>
        <v>296.46325010771585</v>
      </c>
      <c r="T4" s="37">
        <f>BDbDT_calcs!T50</f>
        <v>290.89550552905564</v>
      </c>
      <c r="U4" s="37">
        <f>BDbDT_calcs!U50</f>
        <v>285.41215773735001</v>
      </c>
      <c r="V4" s="37">
        <f>BDbDT_calcs!V50</f>
        <v>280.04215607447247</v>
      </c>
      <c r="W4" s="37">
        <f>BDbDT_calcs!W50</f>
        <v>274.84829106157918</v>
      </c>
      <c r="X4" s="37">
        <f>BDbDT_calcs!X50</f>
        <v>269.85794769474614</v>
      </c>
      <c r="Y4" s="37">
        <f>BDbDT_calcs!Y50</f>
        <v>264.99669846949382</v>
      </c>
      <c r="Z4" s="37">
        <f>BDbDT_calcs!Z50</f>
        <v>260.29292094199201</v>
      </c>
      <c r="AA4" s="37">
        <f>BDbDT_calcs!AA50</f>
        <v>255.80873519372167</v>
      </c>
      <c r="AB4" s="37">
        <f>BDbDT_calcs!AB50</f>
        <v>251.46992346166974</v>
      </c>
    </row>
    <row r="5" spans="1:28" x14ac:dyDescent="0.25">
      <c r="A5" s="4" t="s">
        <v>218</v>
      </c>
      <c r="B5" s="37">
        <f>BDbDT_calcs!B51</f>
        <v>163.60606147924941</v>
      </c>
      <c r="C5" s="37">
        <f>BDbDT_calcs!C51</f>
        <v>161.21055964049449</v>
      </c>
      <c r="D5" s="37">
        <f>BDbDT_calcs!D51</f>
        <v>158.60744557473069</v>
      </c>
      <c r="E5" s="37">
        <f>BDbDT_calcs!E51</f>
        <v>155.96853879785635</v>
      </c>
      <c r="F5" s="37">
        <f>BDbDT_calcs!F51</f>
        <v>153.29475913590039</v>
      </c>
      <c r="G5" s="37">
        <f>BDbDT_calcs!G51</f>
        <v>150.65526039286701</v>
      </c>
      <c r="H5" s="37">
        <f>BDbDT_calcs!H51</f>
        <v>147.94679282682148</v>
      </c>
      <c r="I5" s="37">
        <f>BDbDT_calcs!I51</f>
        <v>144.82716396463709</v>
      </c>
      <c r="J5" s="37">
        <f>BDbDT_calcs!J51</f>
        <v>141.76241808304235</v>
      </c>
      <c r="K5" s="37">
        <f>BDbDT_calcs!K51</f>
        <v>138.74613178973752</v>
      </c>
      <c r="L5" s="37">
        <f>BDbDT_calcs!L51</f>
        <v>135.84485462148575</v>
      </c>
      <c r="M5" s="37">
        <f>BDbDT_calcs!M51</f>
        <v>133.09012539251623</v>
      </c>
      <c r="N5" s="37">
        <f>BDbDT_calcs!N51</f>
        <v>130.37883016318938</v>
      </c>
      <c r="O5" s="37">
        <f>BDbDT_calcs!O51</f>
        <v>127.80985149433461</v>
      </c>
      <c r="P5" s="37">
        <f>BDbDT_calcs!P51</f>
        <v>125.28096602513476</v>
      </c>
      <c r="Q5" s="37">
        <f>BDbDT_calcs!Q51</f>
        <v>122.85683386506062</v>
      </c>
      <c r="R5" s="37">
        <f>BDbDT_calcs!R51</f>
        <v>120.50213455839983</v>
      </c>
      <c r="S5" s="37">
        <f>BDbDT_calcs!S51</f>
        <v>118.04916680432571</v>
      </c>
      <c r="T5" s="37">
        <f>BDbDT_calcs!T51</f>
        <v>115.66637962128286</v>
      </c>
      <c r="U5" s="37">
        <f>BDbDT_calcs!U51</f>
        <v>113.31871279609578</v>
      </c>
      <c r="V5" s="37">
        <f>BDbDT_calcs!V51</f>
        <v>111.06846983115899</v>
      </c>
      <c r="W5" s="37">
        <f>BDbDT_calcs!W51</f>
        <v>108.815759811326</v>
      </c>
      <c r="X5" s="37">
        <f>BDbDT_calcs!X51</f>
        <v>106.65486809978681</v>
      </c>
      <c r="Y5" s="37">
        <f>BDbDT_calcs!Y51</f>
        <v>104.6152525620503</v>
      </c>
      <c r="Z5" s="37">
        <f>BDbDT_calcs!Z51</f>
        <v>102.59831623321979</v>
      </c>
      <c r="AA5" s="37">
        <f>BDbDT_calcs!AA51</f>
        <v>100.66551674129848</v>
      </c>
      <c r="AB5" s="37">
        <f>BDbDT_calcs!AB51</f>
        <v>98.751239846113236</v>
      </c>
    </row>
    <row r="6" spans="1:28" x14ac:dyDescent="0.25">
      <c r="A6" s="4" t="s">
        <v>219</v>
      </c>
      <c r="B6" s="37">
        <f>BDbDT_calcs!B52</f>
        <v>14.393587196459228</v>
      </c>
      <c r="C6" s="37">
        <f>BDbDT_calcs!C52</f>
        <v>14.426541917200526</v>
      </c>
      <c r="D6" s="37">
        <f>BDbDT_calcs!D52</f>
        <v>14.43682649649601</v>
      </c>
      <c r="E6" s="37">
        <f>BDbDT_calcs!E52</f>
        <v>14.46546078441752</v>
      </c>
      <c r="F6" s="37">
        <f>BDbDT_calcs!F52</f>
        <v>14.495898527504933</v>
      </c>
      <c r="G6" s="37">
        <f>BDbDT_calcs!G52</f>
        <v>14.528217559733273</v>
      </c>
      <c r="H6" s="37">
        <f>BDbDT_calcs!H52</f>
        <v>14.562575873238575</v>
      </c>
      <c r="I6" s="37">
        <f>BDbDT_calcs!I52</f>
        <v>14.550834945153756</v>
      </c>
      <c r="J6" s="37">
        <f>BDbDT_calcs!J52</f>
        <v>14.541465956772749</v>
      </c>
      <c r="K6" s="37">
        <f>BDbDT_calcs!K52</f>
        <v>14.566469799869482</v>
      </c>
      <c r="L6" s="37">
        <f>BDbDT_calcs!L52</f>
        <v>14.560784391912117</v>
      </c>
      <c r="M6" s="37">
        <f>BDbDT_calcs!M52</f>
        <v>14.557092606349155</v>
      </c>
      <c r="N6" s="37">
        <f>BDbDT_calcs!N52</f>
        <v>14.555423659315268</v>
      </c>
      <c r="O6" s="37">
        <f>BDbDT_calcs!O52</f>
        <v>14.55580827562394</v>
      </c>
      <c r="P6" s="37">
        <f>BDbDT_calcs!P52</f>
        <v>14.542383801513331</v>
      </c>
      <c r="Q6" s="37">
        <f>BDbDT_calcs!Q52</f>
        <v>14.54695066998595</v>
      </c>
      <c r="R6" s="37">
        <f>BDbDT_calcs!R52</f>
        <v>14.522033020746324</v>
      </c>
      <c r="S6" s="37">
        <f>BDbDT_calcs!S52</f>
        <v>14.498693777015793</v>
      </c>
      <c r="T6" s="37">
        <f>BDbDT_calcs!T52</f>
        <v>14.492918910493428</v>
      </c>
      <c r="U6" s="37">
        <f>BDbDT_calcs!U52</f>
        <v>14.45777815800195</v>
      </c>
      <c r="V6" s="37">
        <f>BDbDT_calcs!V52</f>
        <v>14.439896930733465</v>
      </c>
      <c r="W6" s="37">
        <f>BDbDT_calcs!W52</f>
        <v>14.423475368300082</v>
      </c>
      <c r="X6" s="37">
        <f>BDbDT_calcs!X52</f>
        <v>14.392980915727158</v>
      </c>
      <c r="Y6" s="37">
        <f>BDbDT_calcs!Y52</f>
        <v>14.39426609005662</v>
      </c>
      <c r="Z6" s="37">
        <f>BDbDT_calcs!Z52</f>
        <v>14.365951575390829</v>
      </c>
      <c r="AA6" s="37">
        <f>BDbDT_calcs!AA52</f>
        <v>14.338493789727289</v>
      </c>
      <c r="AB6" s="37">
        <f>BDbDT_calcs!AB52</f>
        <v>14.311697596576229</v>
      </c>
    </row>
    <row r="7" spans="1:28" x14ac:dyDescent="0.25">
      <c r="A7" s="4" t="s">
        <v>220</v>
      </c>
      <c r="B7" s="37">
        <f>BDbDT_calcs!B53</f>
        <v>36.82658202535066</v>
      </c>
      <c r="C7" s="37">
        <f>BDbDT_calcs!C53</f>
        <v>37.097738847975592</v>
      </c>
      <c r="D7" s="37">
        <f>BDbDT_calcs!D53</f>
        <v>37.237372380625366</v>
      </c>
      <c r="E7" s="37">
        <f>BDbDT_calcs!E53</f>
        <v>37.42909465964275</v>
      </c>
      <c r="F7" s="37">
        <f>BDbDT_calcs!F53</f>
        <v>37.600843314050024</v>
      </c>
      <c r="G7" s="37">
        <f>BDbDT_calcs!G53</f>
        <v>37.729055368285806</v>
      </c>
      <c r="H7" s="37">
        <f>BDbDT_calcs!H53</f>
        <v>37.958096887455717</v>
      </c>
      <c r="I7" s="37">
        <f>BDbDT_calcs!I53</f>
        <v>37.970711181086756</v>
      </c>
      <c r="J7" s="37">
        <f>BDbDT_calcs!J53</f>
        <v>38.012748570987604</v>
      </c>
      <c r="K7" s="37">
        <f>BDbDT_calcs!K53</f>
        <v>37.98836976962032</v>
      </c>
      <c r="L7" s="37">
        <f>BDbDT_calcs!L53</f>
        <v>37.992576285242919</v>
      </c>
      <c r="M7" s="37">
        <f>BDbDT_calcs!M53</f>
        <v>37.931776276265424</v>
      </c>
      <c r="N7" s="37">
        <f>BDbDT_calcs!N53</f>
        <v>37.923190834137209</v>
      </c>
      <c r="O7" s="37">
        <f>BDbDT_calcs!O53</f>
        <v>37.873721203580644</v>
      </c>
      <c r="P7" s="37">
        <f>BDbDT_calcs!P53</f>
        <v>37.7839820439915</v>
      </c>
      <c r="Q7" s="37">
        <f>BDbDT_calcs!Q53</f>
        <v>37.654463944260193</v>
      </c>
      <c r="R7" s="37">
        <f>BDbDT_calcs!R53</f>
        <v>37.531282152801204</v>
      </c>
      <c r="S7" s="37">
        <f>BDbDT_calcs!S53</f>
        <v>37.349435894733311</v>
      </c>
      <c r="T7" s="37">
        <f>BDbDT_calcs!T53</f>
        <v>37.0832505294836</v>
      </c>
      <c r="U7" s="37">
        <f>BDbDT_calcs!U53</f>
        <v>36.868793372575027</v>
      </c>
      <c r="V7" s="37">
        <f>BDbDT_calcs!V53</f>
        <v>36.615175575952108</v>
      </c>
      <c r="W7" s="37">
        <f>BDbDT_calcs!W53</f>
        <v>36.36708372111314</v>
      </c>
      <c r="X7" s="37">
        <f>BDbDT_calcs!X53</f>
        <v>36.168412569479223</v>
      </c>
      <c r="Y7" s="37">
        <f>BDbDT_calcs!Y53</f>
        <v>35.907452802916104</v>
      </c>
      <c r="Z7" s="37">
        <f>BDbDT_calcs!Z53</f>
        <v>35.716853126738883</v>
      </c>
      <c r="AA7" s="37">
        <f>BDbDT_calcs!AA53</f>
        <v>35.463437793377899</v>
      </c>
      <c r="AB7" s="37">
        <f>BDbDT_calcs!AB53</f>
        <v>35.278793609013256</v>
      </c>
    </row>
    <row r="8" spans="1:28" x14ac:dyDescent="0.25">
      <c r="A8" s="4" t="s">
        <v>221</v>
      </c>
      <c r="B8" s="37">
        <f>BDbDT_calcs!B54</f>
        <v>35.889079941665308</v>
      </c>
      <c r="C8" s="37">
        <f>BDbDT_calcs!C54</f>
        <v>35.995670224690805</v>
      </c>
      <c r="D8" s="37">
        <f>BDbDT_calcs!D54</f>
        <v>36.064214088940332</v>
      </c>
      <c r="E8" s="37">
        <f>BDbDT_calcs!E54</f>
        <v>36.146161981725136</v>
      </c>
      <c r="F8" s="37">
        <f>BDbDT_calcs!F54</f>
        <v>36.260342035007675</v>
      </c>
      <c r="G8" s="37">
        <f>BDbDT_calcs!G54</f>
        <v>36.342093492802945</v>
      </c>
      <c r="H8" s="37">
        <f>BDbDT_calcs!H54</f>
        <v>36.419724250421716</v>
      </c>
      <c r="I8" s="37">
        <f>BDbDT_calcs!I54</f>
        <v>36.37295799481349</v>
      </c>
      <c r="J8" s="37">
        <f>BDbDT_calcs!J54</f>
        <v>36.314058633883114</v>
      </c>
      <c r="K8" s="37">
        <f>BDbDT_calcs!K54</f>
        <v>36.242095960507591</v>
      </c>
      <c r="L8" s="37">
        <f>BDbDT_calcs!L54</f>
        <v>36.148409251093945</v>
      </c>
      <c r="M8" s="37">
        <f>BDbDT_calcs!M54</f>
        <v>36.033454905707998</v>
      </c>
      <c r="N8" s="37">
        <f>BDbDT_calcs!N54</f>
        <v>35.897628235076162</v>
      </c>
      <c r="O8" s="37">
        <f>BDbDT_calcs!O54</f>
        <v>35.741299358439804</v>
      </c>
      <c r="P8" s="37">
        <f>BDbDT_calcs!P54</f>
        <v>35.538146644344955</v>
      </c>
      <c r="Q8" s="37">
        <f>BDbDT_calcs!Q54</f>
        <v>35.315206034161484</v>
      </c>
      <c r="R8" s="37">
        <f>BDbDT_calcs!R54</f>
        <v>35.046189303219556</v>
      </c>
      <c r="S8" s="37">
        <f>BDbDT_calcs!S54</f>
        <v>34.744973156709904</v>
      </c>
      <c r="T8" s="37">
        <f>BDbDT_calcs!T54</f>
        <v>34.415921361639725</v>
      </c>
      <c r="U8" s="37">
        <f>BDbDT_calcs!U54</f>
        <v>34.059086875060416</v>
      </c>
      <c r="V8" s="37">
        <f>BDbDT_calcs!V54</f>
        <v>33.708955319825336</v>
      </c>
      <c r="W8" s="37">
        <f>BDbDT_calcs!W54</f>
        <v>33.321914777962945</v>
      </c>
      <c r="X8" s="37">
        <f>BDbDT_calcs!X54</f>
        <v>32.983596792891973</v>
      </c>
      <c r="Y8" s="37">
        <f>BDbDT_calcs!Y54</f>
        <v>32.641862098466</v>
      </c>
      <c r="Z8" s="37">
        <f>BDbDT_calcs!Z54</f>
        <v>32.304783008248855</v>
      </c>
      <c r="AA8" s="37">
        <f>BDbDT_calcs!AA54</f>
        <v>31.980302801580724</v>
      </c>
      <c r="AB8" s="37">
        <f>BDbDT_calcs!AB54</f>
        <v>31.676255728686328</v>
      </c>
    </row>
    <row r="9" spans="1:28" x14ac:dyDescent="0.25">
      <c r="A9" s="4" t="s">
        <v>222</v>
      </c>
      <c r="B9" s="37">
        <f>BDbDT_calcs!B55</f>
        <v>542.95854569725668</v>
      </c>
      <c r="C9" s="37">
        <f>BDbDT_calcs!C55</f>
        <v>537.00261779791538</v>
      </c>
      <c r="D9" s="37">
        <f>BDbDT_calcs!D55</f>
        <v>530.10701432316739</v>
      </c>
      <c r="E9" s="37">
        <f>BDbDT_calcs!E55</f>
        <v>523.23184327469835</v>
      </c>
      <c r="F9" s="37">
        <f>BDbDT_calcs!F55</f>
        <v>516.17407041086676</v>
      </c>
      <c r="G9" s="37">
        <f>BDbDT_calcs!G55</f>
        <v>509.30450526570758</v>
      </c>
      <c r="H9" s="37">
        <f>BDbDT_calcs!H55</f>
        <v>502.46051604084545</v>
      </c>
      <c r="I9" s="37">
        <f>BDbDT_calcs!I55</f>
        <v>494.04521844775974</v>
      </c>
      <c r="J9" s="37">
        <f>BDbDT_calcs!J55</f>
        <v>485.71286372600554</v>
      </c>
      <c r="K9" s="37">
        <f>BDbDT_calcs!K55</f>
        <v>477.40365025997875</v>
      </c>
      <c r="L9" s="37">
        <f>BDbDT_calcs!L55</f>
        <v>469.19710612280403</v>
      </c>
      <c r="M9" s="37">
        <f>BDbDT_calcs!M55</f>
        <v>461.05092841476068</v>
      </c>
      <c r="N9" s="37">
        <f>BDbDT_calcs!N55</f>
        <v>453.04241240133229</v>
      </c>
      <c r="O9" s="37">
        <f>BDbDT_calcs!O55</f>
        <v>445.00980523269527</v>
      </c>
      <c r="P9" s="37">
        <f>BDbDT_calcs!P55</f>
        <v>437.06957441836187</v>
      </c>
      <c r="Q9" s="37">
        <f>BDbDT_calcs!Q55</f>
        <v>429.21746228939833</v>
      </c>
      <c r="R9" s="37">
        <f>BDbDT_calcs!R55</f>
        <v>421.48793182471974</v>
      </c>
      <c r="S9" s="37">
        <f>BDbDT_calcs!S55</f>
        <v>413.29345575468642</v>
      </c>
      <c r="T9" s="37">
        <f>BDbDT_calcs!T55</f>
        <v>405.30418345009366</v>
      </c>
      <c r="U9" s="37">
        <f>BDbDT_calcs!U55</f>
        <v>397.58895791070756</v>
      </c>
      <c r="V9" s="37">
        <f>BDbDT_calcs!V55</f>
        <v>390.06071271559455</v>
      </c>
      <c r="W9" s="37">
        <f>BDbDT_calcs!W55</f>
        <v>382.9013020354385</v>
      </c>
      <c r="X9" s="37">
        <f>BDbDT_calcs!X55</f>
        <v>375.90889693227138</v>
      </c>
      <c r="Y9" s="37">
        <f>BDbDT_calcs!Y55</f>
        <v>369.19065524616195</v>
      </c>
      <c r="Z9" s="37">
        <f>BDbDT_calcs!Z55</f>
        <v>362.69957085000715</v>
      </c>
      <c r="AA9" s="37">
        <f>BDbDT_calcs!AA55</f>
        <v>356.38964159919857</v>
      </c>
      <c r="AB9" s="37">
        <f>BDbDT_calcs!AB55</f>
        <v>350.29089598046829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52352.978451239462</v>
      </c>
      <c r="C2" s="37">
        <f>BDbDT_calcs!C58</f>
        <v>53243.121742664589</v>
      </c>
      <c r="D2" s="37">
        <f>BDbDT_calcs!D58</f>
        <v>54038.709827941741</v>
      </c>
      <c r="E2" s="37">
        <f>BDbDT_calcs!E58</f>
        <v>54832.92558053352</v>
      </c>
      <c r="F2" s="37">
        <f>BDbDT_calcs!F58</f>
        <v>55630.52323535426</v>
      </c>
      <c r="G2" s="37">
        <f>BDbDT_calcs!G58</f>
        <v>56433.181178865452</v>
      </c>
      <c r="H2" s="37">
        <f>BDbDT_calcs!H58</f>
        <v>57237.078198497278</v>
      </c>
      <c r="I2" s="37">
        <f>BDbDT_calcs!I58</f>
        <v>57846.832930525743</v>
      </c>
      <c r="J2" s="37">
        <f>BDbDT_calcs!J58</f>
        <v>58442.022019998774</v>
      </c>
      <c r="K2" s="37">
        <f>BDbDT_calcs!K58</f>
        <v>59021.847109149916</v>
      </c>
      <c r="L2" s="37">
        <f>BDbDT_calcs!L58</f>
        <v>59581.55963810203</v>
      </c>
      <c r="M2" s="37">
        <f>BDbDT_calcs!M58</f>
        <v>60120.445026131514</v>
      </c>
      <c r="N2" s="37">
        <f>BDbDT_calcs!N58</f>
        <v>60632.665953461306</v>
      </c>
      <c r="O2" s="37">
        <f>BDbDT_calcs!O58</f>
        <v>61116.294045805495</v>
      </c>
      <c r="P2" s="37">
        <f>BDbDT_calcs!P58</f>
        <v>61563.876618781724</v>
      </c>
      <c r="Q2" s="37">
        <f>BDbDT_calcs!Q58</f>
        <v>61974.602037115459</v>
      </c>
      <c r="R2" s="37">
        <f>BDbDT_calcs!R58</f>
        <v>62339.531231063287</v>
      </c>
      <c r="S2" s="37">
        <f>BDbDT_calcs!S58</f>
        <v>62589.287008029947</v>
      </c>
      <c r="T2" s="37">
        <f>BDbDT_calcs!T58</f>
        <v>62790.655710705367</v>
      </c>
      <c r="U2" s="37">
        <f>BDbDT_calcs!U58</f>
        <v>62947.502189606887</v>
      </c>
      <c r="V2" s="37">
        <f>BDbDT_calcs!V58</f>
        <v>63045.190838530099</v>
      </c>
      <c r="W2" s="37">
        <f>BDbDT_calcs!W58</f>
        <v>63087.984983943687</v>
      </c>
      <c r="X2" s="37">
        <f>BDbDT_calcs!X58</f>
        <v>63072.918776262588</v>
      </c>
      <c r="Y2" s="37">
        <f>BDbDT_calcs!Y58</f>
        <v>63026.433500189807</v>
      </c>
      <c r="Z2" s="37">
        <f>BDbDT_calcs!Z58</f>
        <v>62925.806047193488</v>
      </c>
      <c r="AA2" s="37">
        <f>BDbDT_calcs!AA58</f>
        <v>62775.331293767631</v>
      </c>
      <c r="AB2" s="37">
        <f>BDbDT_calcs!AB58</f>
        <v>62581.061837906032</v>
      </c>
    </row>
    <row r="3" spans="1:28" x14ac:dyDescent="0.25">
      <c r="A3" s="4" t="s">
        <v>216</v>
      </c>
      <c r="B3" s="37">
        <f>BDbDT_calcs!B59</f>
        <v>49661.36231062455</v>
      </c>
      <c r="C3" s="37">
        <f>BDbDT_calcs!C59</f>
        <v>50374.926638946949</v>
      </c>
      <c r="D3" s="37">
        <f>BDbDT_calcs!D59</f>
        <v>51003.164877639996</v>
      </c>
      <c r="E3" s="37">
        <f>BDbDT_calcs!E59</f>
        <v>51656.900202131852</v>
      </c>
      <c r="F3" s="37">
        <f>BDbDT_calcs!F59</f>
        <v>52350.627801379233</v>
      </c>
      <c r="G3" s="37">
        <f>BDbDT_calcs!G59</f>
        <v>53086.965245364168</v>
      </c>
      <c r="H3" s="37">
        <f>BDbDT_calcs!H59</f>
        <v>53870.6638740665</v>
      </c>
      <c r="I3" s="37">
        <f>BDbDT_calcs!I59</f>
        <v>54515.479027799294</v>
      </c>
      <c r="J3" s="37">
        <f>BDbDT_calcs!J59</f>
        <v>55194.781893167645</v>
      </c>
      <c r="K3" s="37">
        <f>BDbDT_calcs!K59</f>
        <v>55894.121900997801</v>
      </c>
      <c r="L3" s="37">
        <f>BDbDT_calcs!L59</f>
        <v>56612.136011820214</v>
      </c>
      <c r="M3" s="37">
        <f>BDbDT_calcs!M59</f>
        <v>57345.197953558556</v>
      </c>
      <c r="N3" s="37">
        <f>BDbDT_calcs!N59</f>
        <v>58080.970405775479</v>
      </c>
      <c r="O3" s="37">
        <f>BDbDT_calcs!O59</f>
        <v>58807.897217754638</v>
      </c>
      <c r="P3" s="37">
        <f>BDbDT_calcs!P59</f>
        <v>59523.567454605327</v>
      </c>
      <c r="Q3" s="37">
        <f>BDbDT_calcs!Q59</f>
        <v>60211.817366307485</v>
      </c>
      <c r="R3" s="37">
        <f>BDbDT_calcs!R59</f>
        <v>60868.427459971899</v>
      </c>
      <c r="S3" s="37">
        <f>BDbDT_calcs!S59</f>
        <v>61413.641608036778</v>
      </c>
      <c r="T3" s="37">
        <f>BDbDT_calcs!T59</f>
        <v>61911.169921727815</v>
      </c>
      <c r="U3" s="37">
        <f>BDbDT_calcs!U59</f>
        <v>62355.865361351345</v>
      </c>
      <c r="V3" s="37">
        <f>BDbDT_calcs!V59</f>
        <v>62734.247819256416</v>
      </c>
      <c r="W3" s="37">
        <f>BDbDT_calcs!W59</f>
        <v>63034.432208914433</v>
      </c>
      <c r="X3" s="37">
        <f>BDbDT_calcs!X59</f>
        <v>63260.54804801468</v>
      </c>
      <c r="Y3" s="37">
        <f>BDbDT_calcs!Y59</f>
        <v>63442.679370979444</v>
      </c>
      <c r="Z3" s="37">
        <f>BDbDT_calcs!Z59</f>
        <v>63553.996860826046</v>
      </c>
      <c r="AA3" s="37">
        <f>BDbDT_calcs!AA59</f>
        <v>63585.370374181963</v>
      </c>
      <c r="AB3" s="37">
        <f>BDbDT_calcs!AB59</f>
        <v>63538.588714768528</v>
      </c>
    </row>
    <row r="4" spans="1:28" x14ac:dyDescent="0.25">
      <c r="A4" s="4" t="s">
        <v>217</v>
      </c>
      <c r="B4" s="37">
        <f>BDbDT_calcs!B60</f>
        <v>88103.770871310815</v>
      </c>
      <c r="C4" s="37">
        <f>BDbDT_calcs!C60</f>
        <v>89471.259426005883</v>
      </c>
      <c r="D4" s="37">
        <f>BDbDT_calcs!D60</f>
        <v>90676.126813480907</v>
      </c>
      <c r="E4" s="37">
        <f>BDbDT_calcs!E60</f>
        <v>91893.252003284986</v>
      </c>
      <c r="F4" s="37">
        <f>BDbDT_calcs!F60</f>
        <v>93141.483094152689</v>
      </c>
      <c r="G4" s="37">
        <f>BDbDT_calcs!G60</f>
        <v>94421.197119405362</v>
      </c>
      <c r="H4" s="37">
        <f>BDbDT_calcs!H60</f>
        <v>95735.859565854087</v>
      </c>
      <c r="I4" s="37">
        <f>BDbDT_calcs!I60</f>
        <v>96754.921129879353</v>
      </c>
      <c r="J4" s="37">
        <f>BDbDT_calcs!J60</f>
        <v>97784.051695635251</v>
      </c>
      <c r="K4" s="37">
        <f>BDbDT_calcs!K60</f>
        <v>98805.999685335395</v>
      </c>
      <c r="L4" s="37">
        <f>BDbDT_calcs!L60</f>
        <v>99815.745855141387</v>
      </c>
      <c r="M4" s="37">
        <f>BDbDT_calcs!M60</f>
        <v>100809.69114785861</v>
      </c>
      <c r="N4" s="37">
        <f>BDbDT_calcs!N60</f>
        <v>101769.92498018917</v>
      </c>
      <c r="O4" s="37">
        <f>BDbDT_calcs!O60</f>
        <v>102686.88342895472</v>
      </c>
      <c r="P4" s="37">
        <f>BDbDT_calcs!P60</f>
        <v>103547.98392005607</v>
      </c>
      <c r="Q4" s="37">
        <f>BDbDT_calcs!Q60</f>
        <v>104340.06870598988</v>
      </c>
      <c r="R4" s="37">
        <f>BDbDT_calcs!R60</f>
        <v>105050.67891647585</v>
      </c>
      <c r="S4" s="37">
        <f>BDbDT_calcs!S60</f>
        <v>105552.93343776283</v>
      </c>
      <c r="T4" s="37">
        <f>BDbDT_calcs!T60</f>
        <v>105958.95093649789</v>
      </c>
      <c r="U4" s="37">
        <f>BDbDT_calcs!U60</f>
        <v>106269.54236107391</v>
      </c>
      <c r="V4" s="37">
        <f>BDbDT_calcs!V60</f>
        <v>106457.41563545415</v>
      </c>
      <c r="W4" s="37">
        <f>BDbDT_calcs!W60</f>
        <v>106515.75600032433</v>
      </c>
      <c r="X4" s="37">
        <f>BDbDT_calcs!X60</f>
        <v>106448.01924715147</v>
      </c>
      <c r="Y4" s="37">
        <f>BDbDT_calcs!Y60</f>
        <v>106309.48942380352</v>
      </c>
      <c r="Z4" s="37">
        <f>BDbDT_calcs!Z60</f>
        <v>106053.26786188646</v>
      </c>
      <c r="AA4" s="37">
        <f>BDbDT_calcs!AA60</f>
        <v>105673.82261410967</v>
      </c>
      <c r="AB4" s="37">
        <f>BDbDT_calcs!AB60</f>
        <v>105181.18603303916</v>
      </c>
    </row>
    <row r="5" spans="1:28" x14ac:dyDescent="0.25">
      <c r="A5" s="4" t="s">
        <v>218</v>
      </c>
      <c r="B5" s="37">
        <f>BDbDT_calcs!B61</f>
        <v>12648.658105778379</v>
      </c>
      <c r="C5" s="37">
        <f>BDbDT_calcs!C61</f>
        <v>12824.18649083821</v>
      </c>
      <c r="D5" s="37">
        <f>BDbDT_calcs!D61</f>
        <v>12978.568933253671</v>
      </c>
      <c r="E5" s="37">
        <f>BDbDT_calcs!E61</f>
        <v>13134.260401421709</v>
      </c>
      <c r="F5" s="37">
        <f>BDbDT_calcs!F61</f>
        <v>13295.573665086493</v>
      </c>
      <c r="G5" s="37">
        <f>BDbDT_calcs!G61</f>
        <v>13462.881865784522</v>
      </c>
      <c r="H5" s="37">
        <f>BDbDT_calcs!H61</f>
        <v>13635.877747261993</v>
      </c>
      <c r="I5" s="37">
        <f>BDbDT_calcs!I61</f>
        <v>13769.459773554456</v>
      </c>
      <c r="J5" s="37">
        <f>BDbDT_calcs!J61</f>
        <v>13907.500962270606</v>
      </c>
      <c r="K5" s="37">
        <f>BDbDT_calcs!K61</f>
        <v>14049.099009745569</v>
      </c>
      <c r="L5" s="37">
        <f>BDbDT_calcs!L61</f>
        <v>14194.265899668017</v>
      </c>
      <c r="M5" s="37">
        <f>BDbDT_calcs!M61</f>
        <v>14342.269758006922</v>
      </c>
      <c r="N5" s="37">
        <f>BDbDT_calcs!N61</f>
        <v>14493.791119536405</v>
      </c>
      <c r="O5" s="37">
        <f>BDbDT_calcs!O61</f>
        <v>14645.167879005838</v>
      </c>
      <c r="P5" s="37">
        <f>BDbDT_calcs!P61</f>
        <v>14798.033596686808</v>
      </c>
      <c r="Q5" s="37">
        <f>BDbDT_calcs!Q61</f>
        <v>14949.400819727389</v>
      </c>
      <c r="R5" s="37">
        <f>BDbDT_calcs!R61</f>
        <v>15098.947116148112</v>
      </c>
      <c r="S5" s="37">
        <f>BDbDT_calcs!S61</f>
        <v>15229.62138373173</v>
      </c>
      <c r="T5" s="37">
        <f>BDbDT_calcs!T61</f>
        <v>15355.266727810391</v>
      </c>
      <c r="U5" s="37">
        <f>BDbDT_calcs!U61</f>
        <v>15476.158825598215</v>
      </c>
      <c r="V5" s="37">
        <f>BDbDT_calcs!V61</f>
        <v>15590.532975781667</v>
      </c>
      <c r="W5" s="37">
        <f>BDbDT_calcs!W61</f>
        <v>15695.554279787786</v>
      </c>
      <c r="X5" s="37">
        <f>BDbDT_calcs!X61</f>
        <v>15790.243602071083</v>
      </c>
      <c r="Y5" s="37">
        <f>BDbDT_calcs!Y61</f>
        <v>15878.653761582311</v>
      </c>
      <c r="Z5" s="37">
        <f>BDbDT_calcs!Z61</f>
        <v>15956.455245571853</v>
      </c>
      <c r="AA5" s="37">
        <f>BDbDT_calcs!AA61</f>
        <v>16023.587254658109</v>
      </c>
      <c r="AB5" s="37">
        <f>BDbDT_calcs!AB61</f>
        <v>16078.468642292724</v>
      </c>
    </row>
    <row r="6" spans="1:28" x14ac:dyDescent="0.25">
      <c r="A6" s="4" t="s">
        <v>219</v>
      </c>
      <c r="B6" s="37">
        <f>BDbDT_calcs!B62</f>
        <v>2037.0520100466272</v>
      </c>
      <c r="C6" s="37">
        <f>BDbDT_calcs!C62</f>
        <v>2082.5314363392176</v>
      </c>
      <c r="D6" s="37">
        <f>BDbDT_calcs!D62</f>
        <v>2126.0266821448877</v>
      </c>
      <c r="E6" s="37">
        <f>BDbDT_calcs!E62</f>
        <v>2172.659064613415</v>
      </c>
      <c r="F6" s="37">
        <f>BDbDT_calcs!F62</f>
        <v>2223.0578646958079</v>
      </c>
      <c r="G6" s="37">
        <f>BDbDT_calcs!G62</f>
        <v>2277.1782736175328</v>
      </c>
      <c r="H6" s="37">
        <f>BDbDT_calcs!H62</f>
        <v>2335.1741852995124</v>
      </c>
      <c r="I6" s="37">
        <f>BDbDT_calcs!I62</f>
        <v>2389.1421088807756</v>
      </c>
      <c r="J6" s="37">
        <f>BDbDT_calcs!J62</f>
        <v>2445.3816982031444</v>
      </c>
      <c r="K6" s="37">
        <f>BDbDT_calcs!K62</f>
        <v>2503.3866793849274</v>
      </c>
      <c r="L6" s="37">
        <f>BDbDT_calcs!L62</f>
        <v>2563.7808194074519</v>
      </c>
      <c r="M6" s="37">
        <f>BDbDT_calcs!M62</f>
        <v>2626.0512506297864</v>
      </c>
      <c r="N6" s="37">
        <f>BDbDT_calcs!N62</f>
        <v>2689.855102295287</v>
      </c>
      <c r="O6" s="37">
        <f>BDbDT_calcs!O62</f>
        <v>2754.7146161229289</v>
      </c>
      <c r="P6" s="37">
        <f>BDbDT_calcs!P62</f>
        <v>2820.3810313565991</v>
      </c>
      <c r="Q6" s="37">
        <f>BDbDT_calcs!Q62</f>
        <v>2886.3205676629404</v>
      </c>
      <c r="R6" s="37">
        <f>BDbDT_calcs!R62</f>
        <v>2952.2726110365184</v>
      </c>
      <c r="S6" s="37">
        <f>BDbDT_calcs!S62</f>
        <v>3014.3489704275262</v>
      </c>
      <c r="T6" s="37">
        <f>BDbDT_calcs!T62</f>
        <v>3075.8373285583475</v>
      </c>
      <c r="U6" s="37">
        <f>BDbDT_calcs!U62</f>
        <v>3136.0799869987773</v>
      </c>
      <c r="V6" s="37">
        <f>BDbDT_calcs!V62</f>
        <v>3195.1905123893102</v>
      </c>
      <c r="W6" s="37">
        <f>BDbDT_calcs!W62</f>
        <v>3252.9631896805195</v>
      </c>
      <c r="X6" s="37">
        <f>BDbDT_calcs!X62</f>
        <v>3309.6805231602461</v>
      </c>
      <c r="Y6" s="37">
        <f>BDbDT_calcs!Y62</f>
        <v>3365.1290767928017</v>
      </c>
      <c r="Z6" s="37">
        <f>BDbDT_calcs!Z62</f>
        <v>3419.4157183113593</v>
      </c>
      <c r="AA6" s="37">
        <f>BDbDT_calcs!AA62</f>
        <v>3472.5046021172175</v>
      </c>
      <c r="AB6" s="37">
        <f>BDbDT_calcs!AB62</f>
        <v>3524.1461972163534</v>
      </c>
    </row>
    <row r="7" spans="1:28" x14ac:dyDescent="0.25">
      <c r="A7" s="4" t="s">
        <v>220</v>
      </c>
      <c r="B7" s="37">
        <f>BDbDT_calcs!B63</f>
        <v>1623.7902600150167</v>
      </c>
      <c r="C7" s="37">
        <f>BDbDT_calcs!C63</f>
        <v>1657.7188816502642</v>
      </c>
      <c r="D7" s="37">
        <f>BDbDT_calcs!D63</f>
        <v>1690.3253961045589</v>
      </c>
      <c r="E7" s="37">
        <f>BDbDT_calcs!E63</f>
        <v>1726.0765623530554</v>
      </c>
      <c r="F7" s="37">
        <f>BDbDT_calcs!F63</f>
        <v>1762.118804797504</v>
      </c>
      <c r="G7" s="37">
        <f>BDbDT_calcs!G63</f>
        <v>1800.9687548525799</v>
      </c>
      <c r="H7" s="37">
        <f>BDbDT_calcs!H63</f>
        <v>1840.9916322678869</v>
      </c>
      <c r="I7" s="37">
        <f>BDbDT_calcs!I63</f>
        <v>1875.6102958145971</v>
      </c>
      <c r="J7" s="37">
        <f>BDbDT_calcs!J63</f>
        <v>1910.8925812791233</v>
      </c>
      <c r="K7" s="37">
        <f>BDbDT_calcs!K63</f>
        <v>1948.8834935346345</v>
      </c>
      <c r="L7" s="37">
        <f>BDbDT_calcs!L63</f>
        <v>1987.6918537381257</v>
      </c>
      <c r="M7" s="37">
        <f>BDbDT_calcs!M63</f>
        <v>2027.9144589395908</v>
      </c>
      <c r="N7" s="37">
        <f>BDbDT_calcs!N63</f>
        <v>2068.6496431540422</v>
      </c>
      <c r="O7" s="37">
        <f>BDbDT_calcs!O63</f>
        <v>2110.0544417892252</v>
      </c>
      <c r="P7" s="37">
        <f>BDbDT_calcs!P63</f>
        <v>2152.673259916091</v>
      </c>
      <c r="Q7" s="37">
        <f>BDbDT_calcs!Q63</f>
        <v>2196.2120981310372</v>
      </c>
      <c r="R7" s="37">
        <f>BDbDT_calcs!R63</f>
        <v>2240.2426888417776</v>
      </c>
      <c r="S7" s="37">
        <f>BDbDT_calcs!S63</f>
        <v>2281.5228188486208</v>
      </c>
      <c r="T7" s="37">
        <f>BDbDT_calcs!T63</f>
        <v>2323.1366013937482</v>
      </c>
      <c r="U7" s="37">
        <f>BDbDT_calcs!U63</f>
        <v>2364.470538294971</v>
      </c>
      <c r="V7" s="37">
        <f>BDbDT_calcs!V63</f>
        <v>2404.845244874482</v>
      </c>
      <c r="W7" s="37">
        <f>BDbDT_calcs!W63</f>
        <v>2445.7310572518868</v>
      </c>
      <c r="X7" s="37">
        <f>BDbDT_calcs!X63</f>
        <v>2485.9444159609034</v>
      </c>
      <c r="Y7" s="37">
        <f>BDbDT_calcs!Y63</f>
        <v>2526.1923087909672</v>
      </c>
      <c r="Z7" s="37">
        <f>BDbDT_calcs!Z63</f>
        <v>2565.5025120207483</v>
      </c>
      <c r="AA7" s="37">
        <f>BDbDT_calcs!AA63</f>
        <v>2604.2555768415873</v>
      </c>
      <c r="AB7" s="37">
        <f>BDbDT_calcs!AB63</f>
        <v>2642.8456055982879</v>
      </c>
    </row>
    <row r="8" spans="1:28" x14ac:dyDescent="0.25">
      <c r="A8" s="4" t="s">
        <v>221</v>
      </c>
      <c r="B8" s="37">
        <f>BDbDT_calcs!B64</f>
        <v>2336.7612607683095</v>
      </c>
      <c r="C8" s="37">
        <f>BDbDT_calcs!C64</f>
        <v>2416.2828577144082</v>
      </c>
      <c r="D8" s="37">
        <f>BDbDT_calcs!D64</f>
        <v>2493.2889707831864</v>
      </c>
      <c r="E8" s="37">
        <f>BDbDT_calcs!E64</f>
        <v>2572.1326677360412</v>
      </c>
      <c r="F8" s="37">
        <f>BDbDT_calcs!F64</f>
        <v>2652.8477356199351</v>
      </c>
      <c r="G8" s="37">
        <f>BDbDT_calcs!G64</f>
        <v>2735.7633287576605</v>
      </c>
      <c r="H8" s="37">
        <f>BDbDT_calcs!H64</f>
        <v>2821.7773746553644</v>
      </c>
      <c r="I8" s="37">
        <f>BDbDT_calcs!I64</f>
        <v>2901.2912408325797</v>
      </c>
      <c r="J8" s="37">
        <f>BDbDT_calcs!J64</f>
        <v>2982.6238723618603</v>
      </c>
      <c r="K8" s="37">
        <f>BDbDT_calcs!K64</f>
        <v>3066.4461898486275</v>
      </c>
      <c r="L8" s="37">
        <f>BDbDT_calcs!L64</f>
        <v>3153.2577143274343</v>
      </c>
      <c r="M8" s="37">
        <f>BDbDT_calcs!M64</f>
        <v>3242.2647397279979</v>
      </c>
      <c r="N8" s="37">
        <f>BDbDT_calcs!N64</f>
        <v>3334.290921744901</v>
      </c>
      <c r="O8" s="37">
        <f>BDbDT_calcs!O64</f>
        <v>3428.7588169874384</v>
      </c>
      <c r="P8" s="37">
        <f>BDbDT_calcs!P64</f>
        <v>3525.4995019021349</v>
      </c>
      <c r="Q8" s="37">
        <f>BDbDT_calcs!Q64</f>
        <v>3624.6516447544859</v>
      </c>
      <c r="R8" s="37">
        <f>BDbDT_calcs!R64</f>
        <v>3725.4689054663586</v>
      </c>
      <c r="S8" s="37">
        <f>BDbDT_calcs!S64</f>
        <v>3823.6291034272185</v>
      </c>
      <c r="T8" s="37">
        <f>BDbDT_calcs!T64</f>
        <v>3923.1011327265442</v>
      </c>
      <c r="U8" s="37">
        <f>BDbDT_calcs!U64</f>
        <v>4023.6072034465487</v>
      </c>
      <c r="V8" s="37">
        <f>BDbDT_calcs!V64</f>
        <v>4124.5987388169669</v>
      </c>
      <c r="W8" s="37">
        <f>BDbDT_calcs!W64</f>
        <v>4225.4992726532828</v>
      </c>
      <c r="X8" s="37">
        <f>BDbDT_calcs!X64</f>
        <v>4326.8139287955637</v>
      </c>
      <c r="Y8" s="37">
        <f>BDbDT_calcs!Y64</f>
        <v>4427.664688663669</v>
      </c>
      <c r="Z8" s="37">
        <f>BDbDT_calcs!Z64</f>
        <v>4527.9886096248983</v>
      </c>
      <c r="AA8" s="37">
        <f>BDbDT_calcs!AA64</f>
        <v>4626.7687140527732</v>
      </c>
      <c r="AB8" s="37">
        <f>BDbDT_calcs!AB64</f>
        <v>4723.8838941680169</v>
      </c>
    </row>
    <row r="9" spans="1:28" x14ac:dyDescent="0.25">
      <c r="A9" s="4" t="s">
        <v>222</v>
      </c>
      <c r="B9" s="37">
        <f>BDbDT_calcs!B65</f>
        <v>109827.88047731461</v>
      </c>
      <c r="C9" s="37">
        <f>BDbDT_calcs!C65</f>
        <v>111364.9932951026</v>
      </c>
      <c r="D9" s="37">
        <f>BDbDT_calcs!D65</f>
        <v>112701.28900485461</v>
      </c>
      <c r="E9" s="37">
        <f>BDbDT_calcs!E65</f>
        <v>114057.69303353861</v>
      </c>
      <c r="F9" s="37">
        <f>BDbDT_calcs!F65</f>
        <v>115456.68181999061</v>
      </c>
      <c r="G9" s="37">
        <f>BDbDT_calcs!G65</f>
        <v>116901.84889774235</v>
      </c>
      <c r="H9" s="37">
        <f>BDbDT_calcs!H65</f>
        <v>118390.25154440029</v>
      </c>
      <c r="I9" s="37">
        <f>BDbDT_calcs!I65</f>
        <v>119514.84842186338</v>
      </c>
      <c r="J9" s="37">
        <f>BDbDT_calcs!J65</f>
        <v>120654.56210298555</v>
      </c>
      <c r="K9" s="37">
        <f>BDbDT_calcs!K65</f>
        <v>121788.51930517628</v>
      </c>
      <c r="L9" s="37">
        <f>BDbDT_calcs!L65</f>
        <v>122907.27996725238</v>
      </c>
      <c r="M9" s="37">
        <f>BDbDT_calcs!M65</f>
        <v>124009.27340348158</v>
      </c>
      <c r="N9" s="37">
        <f>BDbDT_calcs!N65</f>
        <v>125069.46047413976</v>
      </c>
      <c r="O9" s="37">
        <f>BDbDT_calcs!O65</f>
        <v>126074.57301784758</v>
      </c>
      <c r="P9" s="37">
        <f>BDbDT_calcs!P65</f>
        <v>127013.71194464054</v>
      </c>
      <c r="Q9" s="37">
        <f>BDbDT_calcs!Q65</f>
        <v>127866.3449001415</v>
      </c>
      <c r="R9" s="37">
        <f>BDbDT_calcs!R65</f>
        <v>128620.25872642797</v>
      </c>
      <c r="S9" s="37">
        <f>BDbDT_calcs!S65</f>
        <v>129119.00450087839</v>
      </c>
      <c r="T9" s="37">
        <f>BDbDT_calcs!T65</f>
        <v>129498.71717599577</v>
      </c>
      <c r="U9" s="37">
        <f>BDbDT_calcs!U65</f>
        <v>129759.17078622796</v>
      </c>
      <c r="V9" s="37">
        <f>BDbDT_calcs!V65</f>
        <v>129869.66963034429</v>
      </c>
      <c r="W9" s="37">
        <f>BDbDT_calcs!W65</f>
        <v>129823.8852922091</v>
      </c>
      <c r="X9" s="37">
        <f>BDbDT_calcs!X65</f>
        <v>129620.90431705414</v>
      </c>
      <c r="Y9" s="37">
        <f>BDbDT_calcs!Y65</f>
        <v>129331.21029221546</v>
      </c>
      <c r="Z9" s="37">
        <f>BDbDT_calcs!Z65</f>
        <v>128896.72033267656</v>
      </c>
      <c r="AA9" s="37">
        <f>BDbDT_calcs!AA65</f>
        <v>128316.33201813501</v>
      </c>
      <c r="AB9" s="37">
        <f>BDbDT_calcs!AB65</f>
        <v>127599.84651840052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2026-08-17T20:29:24Z</dcterms:modified>
</cp:coreProperties>
</file>