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OH\add-outputs\HOIpTP\"/>
    </mc:Choice>
  </mc:AlternateContent>
  <xr:revisionPtr revIDLastSave="0" documentId="8_{074518BB-4B41-4AFA-A113-FD00155622F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P13" i="19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B7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V3" i="19"/>
  <c r="Q3" i="19"/>
  <c r="F3" i="19"/>
  <c r="E3" i="19"/>
  <c r="B3" i="19"/>
  <c r="O3" i="19" s="1"/>
  <c r="W2" i="19"/>
  <c r="P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T17" i="18"/>
  <c r="R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Q15" i="18" s="1"/>
  <c r="AA14" i="18"/>
  <c r="Y14" i="18"/>
  <c r="H14" i="18"/>
  <c r="B14" i="18"/>
  <c r="AB14" i="18" s="1"/>
  <c r="G13" i="18"/>
  <c r="B13" i="18"/>
  <c r="Q13" i="18" s="1"/>
  <c r="B12" i="18"/>
  <c r="X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Q8" i="18"/>
  <c r="N8" i="18"/>
  <c r="M8" i="18"/>
  <c r="F8" i="18"/>
  <c r="E8" i="18"/>
  <c r="B8" i="18"/>
  <c r="W8" i="18" s="1"/>
  <c r="AB7" i="18"/>
  <c r="AA7" i="18"/>
  <c r="H7" i="18"/>
  <c r="D7" i="18"/>
  <c r="C7" i="18"/>
  <c r="B7" i="18"/>
  <c r="G7" i="18" s="1"/>
  <c r="AA6" i="18"/>
  <c r="X6" i="18"/>
  <c r="P6" i="18"/>
  <c r="O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V3" i="18"/>
  <c r="P3" i="18"/>
  <c r="H3" i="18"/>
  <c r="B3" i="18"/>
  <c r="Z2" i="18"/>
  <c r="P2" i="18"/>
  <c r="O2" i="18"/>
  <c r="K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Y17" i="17"/>
  <c r="R17" i="17"/>
  <c r="Q17" i="17"/>
  <c r="E17" i="17"/>
  <c r="B17" i="17"/>
  <c r="AA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B13" i="17"/>
  <c r="U13" i="17" s="1"/>
  <c r="Y12" i="17"/>
  <c r="T12" i="17"/>
  <c r="O12" i="17"/>
  <c r="M12" i="17"/>
  <c r="J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T8" i="17"/>
  <c r="S8" i="17"/>
  <c r="R8" i="17"/>
  <c r="P8" i="17"/>
  <c r="O8" i="17"/>
  <c r="F8" i="17"/>
  <c r="D8" i="17"/>
  <c r="C8" i="17"/>
  <c r="B8" i="17"/>
  <c r="AB8" i="17" s="1"/>
  <c r="W7" i="17"/>
  <c r="U7" i="17"/>
  <c r="H7" i="17"/>
  <c r="G7" i="17"/>
  <c r="B7" i="17"/>
  <c r="E6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B17" i="16"/>
  <c r="G17" i="16" s="1"/>
  <c r="B16" i="16"/>
  <c r="AA15" i="16"/>
  <c r="X15" i="16"/>
  <c r="K15" i="16"/>
  <c r="B15" i="16"/>
  <c r="Y15" i="16" s="1"/>
  <c r="G14" i="16"/>
  <c r="F14" i="16"/>
  <c r="B14" i="16"/>
  <c r="AB14" i="16" s="1"/>
  <c r="W13" i="16"/>
  <c r="J13" i="16"/>
  <c r="D13" i="16"/>
  <c r="B13" i="16"/>
  <c r="X13" i="16" s="1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B7" i="16"/>
  <c r="R7" i="16" s="1"/>
  <c r="W6" i="16"/>
  <c r="V6" i="16"/>
  <c r="T6" i="16"/>
  <c r="S6" i="16"/>
  <c r="N6" i="16"/>
  <c r="L6" i="16"/>
  <c r="J6" i="16"/>
  <c r="I6" i="16"/>
  <c r="E6" i="16"/>
  <c r="B6" i="16"/>
  <c r="Z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R3" i="16"/>
  <c r="O3" i="16"/>
  <c r="C3" i="16"/>
  <c r="B3" i="16"/>
  <c r="T3" i="16" s="1"/>
  <c r="T2" i="16"/>
  <c r="Q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U15" i="15"/>
  <c r="T15" i="15"/>
  <c r="S15" i="15"/>
  <c r="K15" i="15"/>
  <c r="I15" i="15"/>
  <c r="G15" i="15"/>
  <c r="E15" i="15"/>
  <c r="C15" i="15"/>
  <c r="B15" i="15"/>
  <c r="AA15" i="15" s="1"/>
  <c r="AB14" i="15"/>
  <c r="O14" i="15"/>
  <c r="B14" i="15"/>
  <c r="W13" i="15"/>
  <c r="V13" i="15"/>
  <c r="T13" i="15"/>
  <c r="S13" i="15"/>
  <c r="R13" i="15"/>
  <c r="Q13" i="15"/>
  <c r="O13" i="15"/>
  <c r="N13" i="15"/>
  <c r="M13" i="15"/>
  <c r="L13" i="15"/>
  <c r="K13" i="15"/>
  <c r="J13" i="15"/>
  <c r="I13" i="15"/>
  <c r="H13" i="15"/>
  <c r="G13" i="15"/>
  <c r="F13" i="15"/>
  <c r="D13" i="15"/>
  <c r="C13" i="15"/>
  <c r="B13" i="15"/>
  <c r="P13" i="15" s="1"/>
  <c r="X12" i="15"/>
  <c r="W12" i="15"/>
  <c r="V12" i="15"/>
  <c r="T12" i="15"/>
  <c r="R12" i="15"/>
  <c r="Q12" i="15"/>
  <c r="P12" i="15"/>
  <c r="O12" i="15"/>
  <c r="N12" i="15"/>
  <c r="M12" i="15"/>
  <c r="K12" i="15"/>
  <c r="J12" i="15"/>
  <c r="I12" i="15"/>
  <c r="H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Z8" i="15"/>
  <c r="Y8" i="15"/>
  <c r="R8" i="15"/>
  <c r="O8" i="15"/>
  <c r="J8" i="15"/>
  <c r="H8" i="15"/>
  <c r="G8" i="15"/>
  <c r="F8" i="15"/>
  <c r="B8" i="15"/>
  <c r="AA7" i="15"/>
  <c r="Y7" i="15"/>
  <c r="S7" i="15"/>
  <c r="R7" i="15"/>
  <c r="N7" i="15"/>
  <c r="M7" i="15"/>
  <c r="L7" i="15"/>
  <c r="K7" i="15"/>
  <c r="J7" i="15"/>
  <c r="I7" i="15"/>
  <c r="G7" i="15"/>
  <c r="F7" i="15"/>
  <c r="D7" i="15"/>
  <c r="B7" i="15"/>
  <c r="W7" i="15" s="1"/>
  <c r="AB6" i="15"/>
  <c r="AA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U3" i="15"/>
  <c r="Q3" i="15"/>
  <c r="M3" i="15"/>
  <c r="L3" i="15"/>
  <c r="B3" i="15"/>
  <c r="AA2" i="15"/>
  <c r="Z2" i="15"/>
  <c r="S2" i="15"/>
  <c r="R2" i="15"/>
  <c r="P2" i="15"/>
  <c r="N2" i="15"/>
  <c r="M2" i="15"/>
  <c r="L2" i="15"/>
  <c r="K2" i="15"/>
  <c r="J2" i="15"/>
  <c r="I2" i="15"/>
  <c r="G2" i="15"/>
  <c r="F2" i="15"/>
  <c r="E2" i="15"/>
  <c r="D2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Z15" i="14"/>
  <c r="W15" i="14"/>
  <c r="V15" i="14"/>
  <c r="U15" i="14"/>
  <c r="T15" i="14"/>
  <c r="S15" i="14"/>
  <c r="R15" i="14"/>
  <c r="P15" i="14"/>
  <c r="O15" i="14"/>
  <c r="N15" i="14"/>
  <c r="M15" i="14"/>
  <c r="K15" i="14"/>
  <c r="J15" i="14"/>
  <c r="F15" i="14"/>
  <c r="E15" i="14"/>
  <c r="C15" i="14"/>
  <c r="B15" i="14"/>
  <c r="X15" i="14" s="1"/>
  <c r="AB14" i="14"/>
  <c r="B14" i="14"/>
  <c r="Y14" i="14" s="1"/>
  <c r="B13" i="14"/>
  <c r="Q13" i="14" s="1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X7" i="14"/>
  <c r="V7" i="14"/>
  <c r="S7" i="14"/>
  <c r="R7" i="14"/>
  <c r="P7" i="14"/>
  <c r="N7" i="14"/>
  <c r="M7" i="14"/>
  <c r="I7" i="14"/>
  <c r="H7" i="14"/>
  <c r="E7" i="14"/>
  <c r="C7" i="14"/>
  <c r="B7" i="14"/>
  <c r="AB7" i="14" s="1"/>
  <c r="AA6" i="14"/>
  <c r="Z6" i="14"/>
  <c r="X6" i="14"/>
  <c r="W6" i="14"/>
  <c r="S6" i="14"/>
  <c r="R6" i="14"/>
  <c r="Q6" i="14"/>
  <c r="P6" i="14"/>
  <c r="N6" i="14"/>
  <c r="M6" i="14"/>
  <c r="H6" i="14"/>
  <c r="G6" i="14"/>
  <c r="E6" i="14"/>
  <c r="B6" i="14"/>
  <c r="U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B3" i="14"/>
  <c r="V3" i="14" s="1"/>
  <c r="AB2" i="14"/>
  <c r="X2" i="14"/>
  <c r="V2" i="14"/>
  <c r="R2" i="14"/>
  <c r="P2" i="14"/>
  <c r="O2" i="14"/>
  <c r="M2" i="14"/>
  <c r="L2" i="14"/>
  <c r="G2" i="14"/>
  <c r="F2" i="14"/>
  <c r="E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E17" i="13"/>
  <c r="C17" i="13"/>
  <c r="B17" i="13"/>
  <c r="U16" i="13"/>
  <c r="T16" i="13"/>
  <c r="H16" i="13"/>
  <c r="G16" i="13"/>
  <c r="B16" i="13"/>
  <c r="AA16" i="13" s="1"/>
  <c r="Z15" i="13"/>
  <c r="Y15" i="13"/>
  <c r="P15" i="13"/>
  <c r="O15" i="13"/>
  <c r="M15" i="13"/>
  <c r="L15" i="13"/>
  <c r="J15" i="13"/>
  <c r="I15" i="13"/>
  <c r="H15" i="13"/>
  <c r="G15" i="13"/>
  <c r="B15" i="13"/>
  <c r="AB15" i="13" s="1"/>
  <c r="AA14" i="13"/>
  <c r="W14" i="13"/>
  <c r="V14" i="13"/>
  <c r="Q14" i="13"/>
  <c r="P14" i="13"/>
  <c r="N14" i="13"/>
  <c r="M14" i="13"/>
  <c r="L14" i="13"/>
  <c r="K14" i="13"/>
  <c r="J14" i="13"/>
  <c r="H14" i="13"/>
  <c r="F14" i="13"/>
  <c r="E14" i="13"/>
  <c r="B14" i="13"/>
  <c r="U14" i="13" s="1"/>
  <c r="Z13" i="13"/>
  <c r="Y13" i="13"/>
  <c r="X13" i="13"/>
  <c r="V13" i="13"/>
  <c r="N13" i="13"/>
  <c r="B13" i="13"/>
  <c r="X12" i="13"/>
  <c r="W12" i="13"/>
  <c r="T12" i="13"/>
  <c r="S12" i="13"/>
  <c r="R12" i="13"/>
  <c r="O12" i="13"/>
  <c r="B12" i="13"/>
  <c r="V12" i="13" s="1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B7" i="13"/>
  <c r="L7" i="13" s="1"/>
  <c r="O6" i="13"/>
  <c r="M6" i="13"/>
  <c r="J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N3" i="13"/>
  <c r="J3" i="13"/>
  <c r="I3" i="13"/>
  <c r="F3" i="13"/>
  <c r="E3" i="13"/>
  <c r="B3" i="13"/>
  <c r="M3" i="13" s="1"/>
  <c r="B2" i="13"/>
  <c r="H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O17" i="12"/>
  <c r="G17" i="12"/>
  <c r="B17" i="12"/>
  <c r="AB16" i="12"/>
  <c r="AA16" i="12"/>
  <c r="Z16" i="12"/>
  <c r="J16" i="12"/>
  <c r="C16" i="12"/>
  <c r="B16" i="12"/>
  <c r="O15" i="12"/>
  <c r="L15" i="12"/>
  <c r="K15" i="12"/>
  <c r="J15" i="12"/>
  <c r="I15" i="12"/>
  <c r="B15" i="12"/>
  <c r="Y15" i="12" s="1"/>
  <c r="AB14" i="12"/>
  <c r="X14" i="12"/>
  <c r="Q14" i="12"/>
  <c r="B14" i="12"/>
  <c r="Y14" i="12" s="1"/>
  <c r="B13" i="12"/>
  <c r="AA12" i="12"/>
  <c r="Z12" i="12"/>
  <c r="B12" i="12"/>
  <c r="C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Y8" i="12"/>
  <c r="X8" i="12"/>
  <c r="S8" i="12"/>
  <c r="R8" i="12"/>
  <c r="P8" i="12"/>
  <c r="M8" i="12"/>
  <c r="I8" i="12"/>
  <c r="H8" i="12"/>
  <c r="G8" i="12"/>
  <c r="F8" i="12"/>
  <c r="D8" i="12"/>
  <c r="B8" i="12"/>
  <c r="B7" i="12"/>
  <c r="X7" i="12" s="1"/>
  <c r="W6" i="12"/>
  <c r="F6" i="12"/>
  <c r="B6" i="12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U3" i="12"/>
  <c r="T3" i="12"/>
  <c r="P3" i="12"/>
  <c r="N3" i="12"/>
  <c r="F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D17" i="11"/>
  <c r="C17" i="11"/>
  <c r="B17" i="11"/>
  <c r="J17" i="11" s="1"/>
  <c r="AB16" i="11"/>
  <c r="Y16" i="11"/>
  <c r="W16" i="11"/>
  <c r="V16" i="11"/>
  <c r="D16" i="11"/>
  <c r="B16" i="11"/>
  <c r="AA16" i="11" s="1"/>
  <c r="B15" i="11"/>
  <c r="W15" i="11" s="1"/>
  <c r="AB14" i="11"/>
  <c r="AA14" i="11"/>
  <c r="X14" i="11"/>
  <c r="W14" i="11"/>
  <c r="V14" i="11"/>
  <c r="U14" i="11"/>
  <c r="T14" i="11"/>
  <c r="R14" i="11"/>
  <c r="O14" i="11"/>
  <c r="N14" i="11"/>
  <c r="J14" i="11"/>
  <c r="I14" i="11"/>
  <c r="C14" i="11"/>
  <c r="B14" i="11"/>
  <c r="AB13" i="11"/>
  <c r="AA13" i="11"/>
  <c r="Z13" i="11"/>
  <c r="Y13" i="11"/>
  <c r="X13" i="11"/>
  <c r="V13" i="11"/>
  <c r="U13" i="11"/>
  <c r="R13" i="11"/>
  <c r="M13" i="11"/>
  <c r="L13" i="11"/>
  <c r="K13" i="11"/>
  <c r="B13" i="11"/>
  <c r="Q13" i="11" s="1"/>
  <c r="T12" i="11"/>
  <c r="B12" i="11"/>
  <c r="O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R8" i="11"/>
  <c r="Q8" i="11"/>
  <c r="O8" i="11"/>
  <c r="N8" i="11"/>
  <c r="K8" i="11"/>
  <c r="I8" i="11"/>
  <c r="E8" i="11"/>
  <c r="D8" i="11"/>
  <c r="C8" i="11"/>
  <c r="B8" i="11"/>
  <c r="L7" i="11"/>
  <c r="I7" i="11"/>
  <c r="H7" i="11"/>
  <c r="G7" i="11"/>
  <c r="F7" i="11"/>
  <c r="B7" i="11"/>
  <c r="AB7" i="11" s="1"/>
  <c r="X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R3" i="11"/>
  <c r="L3" i="11"/>
  <c r="K3" i="11"/>
  <c r="I3" i="11"/>
  <c r="H3" i="11"/>
  <c r="C3" i="11"/>
  <c r="B3" i="11"/>
  <c r="B2" i="11"/>
  <c r="Q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B15" i="10"/>
  <c r="Q15" i="10" s="1"/>
  <c r="AA14" i="10"/>
  <c r="Z14" i="10"/>
  <c r="V14" i="10"/>
  <c r="U14" i="10"/>
  <c r="T14" i="10"/>
  <c r="F14" i="10"/>
  <c r="D14" i="10"/>
  <c r="B14" i="10"/>
  <c r="Z13" i="10"/>
  <c r="P13" i="10"/>
  <c r="B13" i="10"/>
  <c r="M13" i="10" s="1"/>
  <c r="AA12" i="10"/>
  <c r="B12" i="10"/>
  <c r="C11" i="10"/>
  <c r="B11" i="10"/>
  <c r="B10" i="10"/>
  <c r="B9" i="10"/>
  <c r="B8" i="10"/>
  <c r="C8" i="10" s="1"/>
  <c r="X7" i="10"/>
  <c r="B7" i="10"/>
  <c r="AA6" i="10"/>
  <c r="Y6" i="10"/>
  <c r="R6" i="10"/>
  <c r="O6" i="10"/>
  <c r="L6" i="10"/>
  <c r="H6" i="10"/>
  <c r="E6" i="10"/>
  <c r="C6" i="10"/>
  <c r="B6" i="10"/>
  <c r="J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AA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W17" i="9"/>
  <c r="U17" i="9"/>
  <c r="T17" i="9"/>
  <c r="S17" i="9"/>
  <c r="R17" i="9"/>
  <c r="Q17" i="9"/>
  <c r="P17" i="9"/>
  <c r="O17" i="9"/>
  <c r="M17" i="9"/>
  <c r="K17" i="9"/>
  <c r="J17" i="9"/>
  <c r="F17" i="9"/>
  <c r="E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AA14" i="9"/>
  <c r="K14" i="9"/>
  <c r="J14" i="9"/>
  <c r="G14" i="9"/>
  <c r="F14" i="9"/>
  <c r="B14" i="9"/>
  <c r="C14" i="9" s="1"/>
  <c r="AA13" i="9"/>
  <c r="Z13" i="9"/>
  <c r="Y13" i="9"/>
  <c r="X13" i="9"/>
  <c r="W13" i="9"/>
  <c r="S13" i="9"/>
  <c r="Q13" i="9"/>
  <c r="M13" i="9"/>
  <c r="D13" i="9"/>
  <c r="C13" i="9"/>
  <c r="B13" i="9"/>
  <c r="U12" i="9"/>
  <c r="O12" i="9"/>
  <c r="J12" i="9"/>
  <c r="H12" i="9"/>
  <c r="B12" i="9"/>
  <c r="AB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U8" i="9"/>
  <c r="T8" i="9"/>
  <c r="R8" i="9"/>
  <c r="Q8" i="9"/>
  <c r="P8" i="9"/>
  <c r="O8" i="9"/>
  <c r="N8" i="9"/>
  <c r="M8" i="9"/>
  <c r="L8" i="9"/>
  <c r="K8" i="9"/>
  <c r="I8" i="9"/>
  <c r="G8" i="9"/>
  <c r="F8" i="9"/>
  <c r="E8" i="9"/>
  <c r="C8" i="9"/>
  <c r="B8" i="9"/>
  <c r="W8" i="9" s="1"/>
  <c r="L7" i="9"/>
  <c r="J7" i="9"/>
  <c r="I7" i="9"/>
  <c r="G7" i="9"/>
  <c r="B7" i="9"/>
  <c r="C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Y3" i="9"/>
  <c r="S3" i="9"/>
  <c r="O3" i="9"/>
  <c r="B3" i="9"/>
  <c r="K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G15" i="8"/>
  <c r="F15" i="8"/>
  <c r="B15" i="8"/>
  <c r="Y14" i="8"/>
  <c r="B14" i="8"/>
  <c r="U14" i="8" s="1"/>
  <c r="AA13" i="8"/>
  <c r="B13" i="8"/>
  <c r="M13" i="8" s="1"/>
  <c r="AB12" i="8"/>
  <c r="AA12" i="8"/>
  <c r="V12" i="8"/>
  <c r="U12" i="8"/>
  <c r="T12" i="8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B8" i="8"/>
  <c r="H8" i="8" s="1"/>
  <c r="Y7" i="8"/>
  <c r="W7" i="8"/>
  <c r="U7" i="8"/>
  <c r="B7" i="8"/>
  <c r="Z7" i="8" s="1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O3" i="8"/>
  <c r="N3" i="8"/>
  <c r="L3" i="8"/>
  <c r="K3" i="8"/>
  <c r="I3" i="8"/>
  <c r="H3" i="8"/>
  <c r="D3" i="8"/>
  <c r="B3" i="8"/>
  <c r="AB3" i="8" s="1"/>
  <c r="B2" i="8"/>
  <c r="Q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B17" i="7"/>
  <c r="S17" i="7" s="1"/>
  <c r="N16" i="7"/>
  <c r="M16" i="7"/>
  <c r="L16" i="7"/>
  <c r="J16" i="7"/>
  <c r="H16" i="7"/>
  <c r="G16" i="7"/>
  <c r="B16" i="7"/>
  <c r="AA16" i="7" s="1"/>
  <c r="U15" i="7"/>
  <c r="T15" i="7"/>
  <c r="Q15" i="7"/>
  <c r="P15" i="7"/>
  <c r="O15" i="7"/>
  <c r="N15" i="7"/>
  <c r="M15" i="7"/>
  <c r="L15" i="7"/>
  <c r="K15" i="7"/>
  <c r="I15" i="7"/>
  <c r="H15" i="7"/>
  <c r="G15" i="7"/>
  <c r="F15" i="7"/>
  <c r="E15" i="7"/>
  <c r="B15" i="7"/>
  <c r="Z15" i="7" s="1"/>
  <c r="M14" i="7"/>
  <c r="L14" i="7"/>
  <c r="J14" i="7"/>
  <c r="B14" i="7"/>
  <c r="D14" i="7" s="1"/>
  <c r="B13" i="7"/>
  <c r="E13" i="7" s="1"/>
  <c r="V12" i="7"/>
  <c r="B12" i="7"/>
  <c r="M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AA8" i="7"/>
  <c r="Y8" i="7"/>
  <c r="W8" i="7"/>
  <c r="V8" i="7"/>
  <c r="U8" i="7"/>
  <c r="T8" i="7"/>
  <c r="Q8" i="7"/>
  <c r="P8" i="7"/>
  <c r="N8" i="7"/>
  <c r="M8" i="7"/>
  <c r="B8" i="7"/>
  <c r="D8" i="7" s="1"/>
  <c r="AB7" i="7"/>
  <c r="AA7" i="7"/>
  <c r="Y7" i="7"/>
  <c r="W7" i="7"/>
  <c r="V7" i="7"/>
  <c r="U7" i="7"/>
  <c r="S7" i="7"/>
  <c r="Q7" i="7"/>
  <c r="P7" i="7"/>
  <c r="O7" i="7"/>
  <c r="N7" i="7"/>
  <c r="B7" i="7"/>
  <c r="F7" i="7" s="1"/>
  <c r="AB6" i="7"/>
  <c r="Z6" i="7"/>
  <c r="X6" i="7"/>
  <c r="W6" i="7"/>
  <c r="V6" i="7"/>
  <c r="U6" i="7"/>
  <c r="S6" i="7"/>
  <c r="R6" i="7"/>
  <c r="Q6" i="7"/>
  <c r="P6" i="7"/>
  <c r="O6" i="7"/>
  <c r="I6" i="7"/>
  <c r="H6" i="7"/>
  <c r="F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T3" i="7"/>
  <c r="S3" i="7"/>
  <c r="P3" i="7"/>
  <c r="O3" i="7"/>
  <c r="B3" i="7"/>
  <c r="J3" i="7" s="1"/>
  <c r="P2" i="7"/>
  <c r="O2" i="7"/>
  <c r="N2" i="7"/>
  <c r="K2" i="7"/>
  <c r="B2" i="7"/>
  <c r="Z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S17" i="6"/>
  <c r="R17" i="6"/>
  <c r="P17" i="6"/>
  <c r="O17" i="6"/>
  <c r="K17" i="6"/>
  <c r="J17" i="6"/>
  <c r="H17" i="6"/>
  <c r="E17" i="6"/>
  <c r="D17" i="6"/>
  <c r="C17" i="6"/>
  <c r="B17" i="6"/>
  <c r="AB17" i="6" s="1"/>
  <c r="E16" i="6"/>
  <c r="D16" i="6"/>
  <c r="C16" i="6"/>
  <c r="B16" i="6"/>
  <c r="Z15" i="6"/>
  <c r="Y15" i="6"/>
  <c r="W15" i="6"/>
  <c r="V15" i="6"/>
  <c r="U15" i="6"/>
  <c r="R15" i="6"/>
  <c r="Q15" i="6"/>
  <c r="P15" i="6"/>
  <c r="O15" i="6"/>
  <c r="N15" i="6"/>
  <c r="L15" i="6"/>
  <c r="K15" i="6"/>
  <c r="J15" i="6"/>
  <c r="I15" i="6"/>
  <c r="H15" i="6"/>
  <c r="E15" i="6"/>
  <c r="B15" i="6"/>
  <c r="AA15" i="6" s="1"/>
  <c r="AB14" i="6"/>
  <c r="AA14" i="6"/>
  <c r="Y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E14" i="6"/>
  <c r="D14" i="6"/>
  <c r="C14" i="6"/>
  <c r="B14" i="6"/>
  <c r="P13" i="6"/>
  <c r="M13" i="6"/>
  <c r="K13" i="6"/>
  <c r="I13" i="6"/>
  <c r="H13" i="6"/>
  <c r="B13" i="6"/>
  <c r="Q13" i="6" s="1"/>
  <c r="W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I8" i="6"/>
  <c r="H8" i="6"/>
  <c r="G8" i="6"/>
  <c r="E8" i="6"/>
  <c r="D8" i="6"/>
  <c r="C8" i="6"/>
  <c r="B8" i="6"/>
  <c r="AB8" i="6" s="1"/>
  <c r="B7" i="6"/>
  <c r="J7" i="6" s="1"/>
  <c r="I6" i="6"/>
  <c r="B6" i="6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P3" i="6"/>
  <c r="O3" i="6"/>
  <c r="M3" i="6"/>
  <c r="L3" i="6"/>
  <c r="K3" i="6"/>
  <c r="B3" i="6"/>
  <c r="Q3" i="6" s="1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V17" i="5"/>
  <c r="U17" i="5"/>
  <c r="T17" i="5"/>
  <c r="S17" i="5"/>
  <c r="R17" i="5"/>
  <c r="B17" i="5"/>
  <c r="W17" i="5" s="1"/>
  <c r="B16" i="5"/>
  <c r="W15" i="5"/>
  <c r="V15" i="5"/>
  <c r="U15" i="5"/>
  <c r="P15" i="5"/>
  <c r="B15" i="5"/>
  <c r="X15" i="5" s="1"/>
  <c r="AB14" i="5"/>
  <c r="AA14" i="5"/>
  <c r="Z14" i="5"/>
  <c r="B14" i="5"/>
  <c r="D14" i="5" s="1"/>
  <c r="F13" i="5"/>
  <c r="B13" i="5"/>
  <c r="AB13" i="5" s="1"/>
  <c r="B12" i="5"/>
  <c r="G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A7" i="5"/>
  <c r="Z7" i="5"/>
  <c r="Y7" i="5"/>
  <c r="X7" i="5"/>
  <c r="V7" i="5"/>
  <c r="I7" i="5"/>
  <c r="B7" i="5"/>
  <c r="D7" i="5" s="1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N3" i="5"/>
  <c r="M3" i="5"/>
  <c r="B3" i="5"/>
  <c r="W3" i="5" s="1"/>
  <c r="D2" i="5"/>
  <c r="C2" i="5"/>
  <c r="B2" i="5"/>
  <c r="E2" i="5" s="1"/>
  <c r="B2" i="1"/>
  <c r="Y13" i="10" l="1"/>
  <c r="D3" i="14"/>
  <c r="AB2" i="16"/>
  <c r="X2" i="16"/>
  <c r="W2" i="16"/>
  <c r="U2" i="16"/>
  <c r="P2" i="16"/>
  <c r="K2" i="16"/>
  <c r="D2" i="16"/>
  <c r="V7" i="17"/>
  <c r="S7" i="17"/>
  <c r="R7" i="17"/>
  <c r="P7" i="17"/>
  <c r="O7" i="17"/>
  <c r="J7" i="17"/>
  <c r="F7" i="17"/>
  <c r="E7" i="17"/>
  <c r="D7" i="17"/>
  <c r="Z7" i="17"/>
  <c r="W2" i="10"/>
  <c r="Y2" i="10"/>
  <c r="X2" i="10"/>
  <c r="V2" i="10"/>
  <c r="N2" i="10"/>
  <c r="C15" i="10"/>
  <c r="C2" i="13"/>
  <c r="C15" i="5"/>
  <c r="Z15" i="5"/>
  <c r="Q2" i="7"/>
  <c r="C12" i="7"/>
  <c r="O14" i="7"/>
  <c r="F17" i="7"/>
  <c r="H2" i="8"/>
  <c r="F6" i="8"/>
  <c r="Z15" i="8"/>
  <c r="O15" i="8"/>
  <c r="N15" i="8"/>
  <c r="AA3" i="9"/>
  <c r="M7" i="9"/>
  <c r="W12" i="9"/>
  <c r="L14" i="9"/>
  <c r="C2" i="10"/>
  <c r="X14" i="10"/>
  <c r="M14" i="10"/>
  <c r="J14" i="10"/>
  <c r="I14" i="10"/>
  <c r="H14" i="10"/>
  <c r="AB14" i="10"/>
  <c r="E14" i="10"/>
  <c r="G15" i="10"/>
  <c r="J7" i="11"/>
  <c r="E7" i="12"/>
  <c r="M15" i="12"/>
  <c r="D2" i="13"/>
  <c r="K3" i="13"/>
  <c r="C7" i="13"/>
  <c r="U12" i="13"/>
  <c r="T15" i="13"/>
  <c r="G3" i="14"/>
  <c r="G13" i="14"/>
  <c r="Y2" i="16"/>
  <c r="K7" i="17"/>
  <c r="Z15" i="18"/>
  <c r="Z13" i="7"/>
  <c r="S13" i="7"/>
  <c r="R13" i="7"/>
  <c r="Q8" i="10"/>
  <c r="Z8" i="10"/>
  <c r="J17" i="16"/>
  <c r="D17" i="16"/>
  <c r="C17" i="16"/>
  <c r="AB17" i="16"/>
  <c r="Z17" i="16"/>
  <c r="Y17" i="16"/>
  <c r="I6" i="5"/>
  <c r="AA6" i="6"/>
  <c r="P6" i="6"/>
  <c r="N13" i="6"/>
  <c r="I13" i="7"/>
  <c r="E13" i="8"/>
  <c r="D14" i="8"/>
  <c r="J6" i="5"/>
  <c r="D13" i="5"/>
  <c r="D15" i="5"/>
  <c r="AA15" i="5"/>
  <c r="E6" i="6"/>
  <c r="O13" i="6"/>
  <c r="Q17" i="6"/>
  <c r="R2" i="7"/>
  <c r="Z7" i="7"/>
  <c r="Z8" i="7"/>
  <c r="E12" i="7"/>
  <c r="J13" i="7"/>
  <c r="Q14" i="7"/>
  <c r="I17" i="7"/>
  <c r="I2" i="8"/>
  <c r="M3" i="8"/>
  <c r="O6" i="8"/>
  <c r="F13" i="8"/>
  <c r="E14" i="8"/>
  <c r="E15" i="8"/>
  <c r="AB3" i="9"/>
  <c r="N7" i="9"/>
  <c r="Z12" i="9"/>
  <c r="N14" i="9"/>
  <c r="D2" i="10"/>
  <c r="G8" i="10"/>
  <c r="C14" i="10"/>
  <c r="H15" i="10"/>
  <c r="K7" i="11"/>
  <c r="F7" i="12"/>
  <c r="H12" i="12"/>
  <c r="N15" i="12"/>
  <c r="E2" i="13"/>
  <c r="E7" i="13"/>
  <c r="V15" i="13"/>
  <c r="J3" i="14"/>
  <c r="K13" i="14"/>
  <c r="AA2" i="16"/>
  <c r="H17" i="16"/>
  <c r="T7" i="17"/>
  <c r="Z14" i="8"/>
  <c r="N14" i="7"/>
  <c r="X12" i="6"/>
  <c r="O12" i="6"/>
  <c r="N12" i="6"/>
  <c r="K15" i="10"/>
  <c r="F2" i="13"/>
  <c r="F7" i="13"/>
  <c r="R17" i="16"/>
  <c r="M6" i="5"/>
  <c r="AA6" i="11"/>
  <c r="U6" i="11"/>
  <c r="Q6" i="11"/>
  <c r="P6" i="11"/>
  <c r="O6" i="11"/>
  <c r="J6" i="11"/>
  <c r="E12" i="11"/>
  <c r="L3" i="14"/>
  <c r="G2" i="11"/>
  <c r="C6" i="11"/>
  <c r="O7" i="11"/>
  <c r="F12" i="11"/>
  <c r="K7" i="12"/>
  <c r="AB12" i="12"/>
  <c r="Q15" i="12"/>
  <c r="H7" i="13"/>
  <c r="W13" i="13"/>
  <c r="U13" i="13"/>
  <c r="R13" i="13"/>
  <c r="Q13" i="13"/>
  <c r="P13" i="13"/>
  <c r="M13" i="13"/>
  <c r="AA15" i="13"/>
  <c r="M3" i="14"/>
  <c r="S13" i="14"/>
  <c r="C7" i="16"/>
  <c r="V17" i="16"/>
  <c r="X7" i="17"/>
  <c r="C17" i="7"/>
  <c r="D17" i="7"/>
  <c r="S2" i="13"/>
  <c r="U2" i="13"/>
  <c r="P2" i="13"/>
  <c r="O2" i="13"/>
  <c r="N2" i="13"/>
  <c r="J2" i="13"/>
  <c r="D7" i="12"/>
  <c r="K6" i="5"/>
  <c r="F12" i="7"/>
  <c r="AA12" i="9"/>
  <c r="AA7" i="19"/>
  <c r="U7" i="19"/>
  <c r="R7" i="19"/>
  <c r="M7" i="19"/>
  <c r="H7" i="19"/>
  <c r="G7" i="19"/>
  <c r="F7" i="19"/>
  <c r="C7" i="19"/>
  <c r="D12" i="6"/>
  <c r="G14" i="8"/>
  <c r="G15" i="5"/>
  <c r="V13" i="6"/>
  <c r="AB8" i="10"/>
  <c r="R15" i="11"/>
  <c r="W7" i="12"/>
  <c r="R15" i="12"/>
  <c r="I2" i="13"/>
  <c r="I7" i="13"/>
  <c r="F13" i="13"/>
  <c r="N3" i="14"/>
  <c r="X13" i="14"/>
  <c r="P3" i="15"/>
  <c r="F3" i="15"/>
  <c r="Z3" i="15"/>
  <c r="Y3" i="15"/>
  <c r="X3" i="15"/>
  <c r="T3" i="15"/>
  <c r="N3" i="15"/>
  <c r="H7" i="16"/>
  <c r="AB12" i="16"/>
  <c r="W12" i="16"/>
  <c r="K12" i="16"/>
  <c r="C12" i="16"/>
  <c r="Y7" i="17"/>
  <c r="H12" i="5"/>
  <c r="AB14" i="8"/>
  <c r="AA13" i="10"/>
  <c r="E15" i="5"/>
  <c r="R14" i="7"/>
  <c r="K2" i="8"/>
  <c r="P6" i="8"/>
  <c r="F14" i="8"/>
  <c r="X12" i="8"/>
  <c r="W12" i="8"/>
  <c r="M2" i="8"/>
  <c r="G7" i="8"/>
  <c r="H14" i="8"/>
  <c r="Q14" i="9"/>
  <c r="G14" i="10"/>
  <c r="F2" i="5"/>
  <c r="W6" i="5"/>
  <c r="H15" i="5"/>
  <c r="T2" i="6"/>
  <c r="K12" i="6"/>
  <c r="U17" i="6"/>
  <c r="F3" i="7"/>
  <c r="C7" i="7"/>
  <c r="C8" i="7"/>
  <c r="O13" i="7"/>
  <c r="X14" i="7"/>
  <c r="V15" i="7"/>
  <c r="M17" i="7"/>
  <c r="N2" i="8"/>
  <c r="J7" i="8"/>
  <c r="J13" i="8"/>
  <c r="I14" i="8"/>
  <c r="I15" i="8"/>
  <c r="T7" i="9"/>
  <c r="R14" i="9"/>
  <c r="X6" i="5"/>
  <c r="J13" i="5"/>
  <c r="I15" i="5"/>
  <c r="J17" i="5"/>
  <c r="Z2" i="6"/>
  <c r="M6" i="6"/>
  <c r="L12" i="6"/>
  <c r="Y13" i="6"/>
  <c r="G3" i="7"/>
  <c r="D7" i="7"/>
  <c r="K12" i="7"/>
  <c r="Q13" i="7"/>
  <c r="W15" i="7"/>
  <c r="Q17" i="7"/>
  <c r="P2" i="8"/>
  <c r="R3" i="8"/>
  <c r="K7" i="8"/>
  <c r="E12" i="8"/>
  <c r="K13" i="8"/>
  <c r="J15" i="8"/>
  <c r="U7" i="9"/>
  <c r="S14" i="9"/>
  <c r="J2" i="10"/>
  <c r="L14" i="10"/>
  <c r="O15" i="10"/>
  <c r="N2" i="11"/>
  <c r="G6" i="11"/>
  <c r="U7" i="11"/>
  <c r="S15" i="12"/>
  <c r="L2" i="13"/>
  <c r="G13" i="13"/>
  <c r="P3" i="14"/>
  <c r="C3" i="15"/>
  <c r="M7" i="16"/>
  <c r="I12" i="16"/>
  <c r="Z2" i="17"/>
  <c r="W2" i="17"/>
  <c r="I2" i="17"/>
  <c r="G2" i="17"/>
  <c r="F2" i="17"/>
  <c r="Y7" i="12"/>
  <c r="V7" i="12"/>
  <c r="S7" i="12"/>
  <c r="P7" i="12"/>
  <c r="I7" i="12"/>
  <c r="D15" i="18"/>
  <c r="C15" i="18"/>
  <c r="AB15" i="18"/>
  <c r="AA15" i="18"/>
  <c r="Y15" i="18"/>
  <c r="X15" i="18"/>
  <c r="W15" i="18"/>
  <c r="S15" i="18"/>
  <c r="M15" i="18"/>
  <c r="K15" i="18"/>
  <c r="J15" i="18"/>
  <c r="E15" i="18"/>
  <c r="E6" i="5"/>
  <c r="Y7" i="13"/>
  <c r="D7" i="13"/>
  <c r="Z7" i="13"/>
  <c r="P7" i="9"/>
  <c r="E2" i="10"/>
  <c r="P14" i="9"/>
  <c r="U17" i="16"/>
  <c r="X8" i="7"/>
  <c r="J8" i="7"/>
  <c r="I8" i="7"/>
  <c r="H12" i="7"/>
  <c r="N13" i="7"/>
  <c r="L17" i="7"/>
  <c r="P3" i="8"/>
  <c r="C12" i="8"/>
  <c r="I13" i="8"/>
  <c r="H15" i="8"/>
  <c r="R7" i="9"/>
  <c r="I13" i="5"/>
  <c r="J12" i="7"/>
  <c r="Q3" i="8"/>
  <c r="H2" i="10"/>
  <c r="K14" i="10"/>
  <c r="N15" i="10"/>
  <c r="I2" i="11"/>
  <c r="E6" i="11"/>
  <c r="P7" i="11"/>
  <c r="G12" i="11"/>
  <c r="X15" i="6"/>
  <c r="T15" i="6"/>
  <c r="S15" i="6"/>
  <c r="V17" i="6"/>
  <c r="Y14" i="7"/>
  <c r="J14" i="8"/>
  <c r="I12" i="11"/>
  <c r="L3" i="5"/>
  <c r="Z6" i="5"/>
  <c r="K13" i="5"/>
  <c r="J15" i="5"/>
  <c r="K17" i="5"/>
  <c r="AA2" i="6"/>
  <c r="N6" i="6"/>
  <c r="P12" i="6"/>
  <c r="U14" i="6"/>
  <c r="X14" i="6"/>
  <c r="W14" i="6"/>
  <c r="C15" i="6"/>
  <c r="AB15" i="6"/>
  <c r="W17" i="6"/>
  <c r="H3" i="7"/>
  <c r="E7" i="7"/>
  <c r="E8" i="7"/>
  <c r="L12" i="7"/>
  <c r="T13" i="7"/>
  <c r="AA14" i="7"/>
  <c r="Y15" i="7"/>
  <c r="S3" i="8"/>
  <c r="M7" i="8"/>
  <c r="H12" i="8"/>
  <c r="L13" i="8"/>
  <c r="K14" i="8"/>
  <c r="K15" i="8"/>
  <c r="X7" i="9"/>
  <c r="T14" i="9"/>
  <c r="K2" i="10"/>
  <c r="N14" i="10"/>
  <c r="P15" i="10"/>
  <c r="H6" i="11"/>
  <c r="V7" i="11"/>
  <c r="J12" i="11"/>
  <c r="Z7" i="12"/>
  <c r="K14" i="12"/>
  <c r="T15" i="12"/>
  <c r="M2" i="13"/>
  <c r="M7" i="13"/>
  <c r="H13" i="13"/>
  <c r="S3" i="14"/>
  <c r="Y7" i="14"/>
  <c r="R14" i="14"/>
  <c r="D3" i="15"/>
  <c r="O7" i="16"/>
  <c r="X12" i="16"/>
  <c r="J2" i="17"/>
  <c r="AB17" i="7"/>
  <c r="H17" i="7"/>
  <c r="G17" i="7"/>
  <c r="O2" i="8"/>
  <c r="F2" i="8"/>
  <c r="D2" i="8"/>
  <c r="F15" i="5"/>
  <c r="G12" i="7"/>
  <c r="Q7" i="9"/>
  <c r="J7" i="12"/>
  <c r="P15" i="12"/>
  <c r="G7" i="13"/>
  <c r="K6" i="6"/>
  <c r="J12" i="6"/>
  <c r="R13" i="6"/>
  <c r="T17" i="6"/>
  <c r="N8" i="10"/>
  <c r="D17" i="5"/>
  <c r="D12" i="8"/>
  <c r="M13" i="5"/>
  <c r="K15" i="5"/>
  <c r="L17" i="5"/>
  <c r="AB2" i="6"/>
  <c r="O6" i="6"/>
  <c r="R12" i="6"/>
  <c r="D15" i="6"/>
  <c r="X17" i="6"/>
  <c r="F8" i="7"/>
  <c r="V13" i="7"/>
  <c r="AB14" i="7"/>
  <c r="T17" i="7"/>
  <c r="R2" i="8"/>
  <c r="V3" i="8"/>
  <c r="O7" i="8"/>
  <c r="N12" i="8"/>
  <c r="L14" i="8"/>
  <c r="L15" i="8"/>
  <c r="AA7" i="9"/>
  <c r="U14" i="9"/>
  <c r="L2" i="10"/>
  <c r="O14" i="10"/>
  <c r="U3" i="11"/>
  <c r="Q3" i="11"/>
  <c r="P3" i="11"/>
  <c r="M3" i="11"/>
  <c r="J3" i="11"/>
  <c r="I6" i="11"/>
  <c r="X7" i="11"/>
  <c r="K12" i="11"/>
  <c r="S14" i="11"/>
  <c r="P14" i="11"/>
  <c r="M14" i="11"/>
  <c r="L14" i="11"/>
  <c r="K14" i="11"/>
  <c r="H14" i="11"/>
  <c r="M3" i="12"/>
  <c r="J3" i="12"/>
  <c r="I3" i="12"/>
  <c r="G3" i="12"/>
  <c r="AA7" i="12"/>
  <c r="L14" i="12"/>
  <c r="V15" i="12"/>
  <c r="Q2" i="13"/>
  <c r="N7" i="13"/>
  <c r="K13" i="13"/>
  <c r="T3" i="14"/>
  <c r="S14" i="14"/>
  <c r="E3" i="15"/>
  <c r="Y12" i="16"/>
  <c r="L2" i="17"/>
  <c r="T13" i="8"/>
  <c r="S13" i="8"/>
  <c r="Y15" i="5"/>
  <c r="H13" i="7"/>
  <c r="AB15" i="5"/>
  <c r="S2" i="7"/>
  <c r="K13" i="7"/>
  <c r="J17" i="7"/>
  <c r="G13" i="8"/>
  <c r="G13" i="5"/>
  <c r="J6" i="6"/>
  <c r="Z7" i="16"/>
  <c r="V7" i="16"/>
  <c r="U7" i="16"/>
  <c r="S7" i="16"/>
  <c r="P7" i="16"/>
  <c r="L7" i="16"/>
  <c r="J7" i="16"/>
  <c r="I7" i="16"/>
  <c r="G7" i="16"/>
  <c r="F7" i="16"/>
  <c r="E7" i="16"/>
  <c r="D7" i="16"/>
  <c r="X3" i="7"/>
  <c r="V3" i="7"/>
  <c r="U3" i="7"/>
  <c r="T14" i="7"/>
  <c r="X15" i="7"/>
  <c r="S15" i="7"/>
  <c r="R15" i="7"/>
  <c r="V14" i="9"/>
  <c r="X15" i="13"/>
  <c r="E15" i="13"/>
  <c r="W15" i="13"/>
  <c r="S15" i="13"/>
  <c r="R15" i="13"/>
  <c r="Q15" i="13"/>
  <c r="N15" i="13"/>
  <c r="G3" i="15"/>
  <c r="T7" i="16"/>
  <c r="X12" i="17"/>
  <c r="I12" i="17"/>
  <c r="F12" i="17"/>
  <c r="E12" i="17"/>
  <c r="D12" i="17"/>
  <c r="C12" i="17"/>
  <c r="AB12" i="17"/>
  <c r="W12" i="17"/>
  <c r="V12" i="17"/>
  <c r="U12" i="17"/>
  <c r="S12" i="17"/>
  <c r="R12" i="17"/>
  <c r="Q12" i="17"/>
  <c r="P12" i="17"/>
  <c r="I3" i="14"/>
  <c r="C3" i="14"/>
  <c r="Z3" i="14"/>
  <c r="Y3" i="14"/>
  <c r="X3" i="14"/>
  <c r="U3" i="14"/>
  <c r="X15" i="10"/>
  <c r="I15" i="10"/>
  <c r="F15" i="10"/>
  <c r="E15" i="10"/>
  <c r="D15" i="10"/>
  <c r="Z15" i="10"/>
  <c r="E3" i="14"/>
  <c r="O12" i="7"/>
  <c r="N12" i="7"/>
  <c r="E17" i="7"/>
  <c r="G2" i="8"/>
  <c r="C13" i="8"/>
  <c r="M13" i="7"/>
  <c r="S14" i="7"/>
  <c r="K17" i="7"/>
  <c r="L2" i="8"/>
  <c r="H13" i="8"/>
  <c r="F2" i="10"/>
  <c r="K8" i="10"/>
  <c r="L15" i="10"/>
  <c r="G2" i="13"/>
  <c r="L7" i="19"/>
  <c r="G7" i="7"/>
  <c r="M7" i="7"/>
  <c r="L7" i="7"/>
  <c r="AB6" i="6"/>
  <c r="S12" i="6"/>
  <c r="Z17" i="6"/>
  <c r="K3" i="7"/>
  <c r="G8" i="7"/>
  <c r="W13" i="7"/>
  <c r="U17" i="7"/>
  <c r="S2" i="8"/>
  <c r="P7" i="8"/>
  <c r="O12" i="8"/>
  <c r="M14" i="8"/>
  <c r="AB7" i="9"/>
  <c r="K6" i="11"/>
  <c r="Z7" i="11"/>
  <c r="L12" i="11"/>
  <c r="R7" i="13"/>
  <c r="T12" i="6"/>
  <c r="F15" i="6"/>
  <c r="AA17" i="6"/>
  <c r="L3" i="7"/>
  <c r="I7" i="7"/>
  <c r="H8" i="7"/>
  <c r="R12" i="7"/>
  <c r="X13" i="7"/>
  <c r="C15" i="7"/>
  <c r="AB15" i="7"/>
  <c r="V17" i="7"/>
  <c r="T2" i="8"/>
  <c r="Z3" i="8"/>
  <c r="Q7" i="8"/>
  <c r="Q12" i="8"/>
  <c r="O13" i="8"/>
  <c r="N14" i="8"/>
  <c r="P15" i="8"/>
  <c r="W14" i="9"/>
  <c r="P2" i="10"/>
  <c r="AB12" i="10"/>
  <c r="Z12" i="10"/>
  <c r="Q14" i="10"/>
  <c r="T15" i="10"/>
  <c r="D3" i="11"/>
  <c r="L6" i="11"/>
  <c r="AA7" i="11"/>
  <c r="M12" i="11"/>
  <c r="E14" i="11"/>
  <c r="K3" i="12"/>
  <c r="Z8" i="12"/>
  <c r="W8" i="12"/>
  <c r="V8" i="12"/>
  <c r="U8" i="12"/>
  <c r="Q8" i="12"/>
  <c r="R14" i="12"/>
  <c r="Z15" i="12"/>
  <c r="V2" i="13"/>
  <c r="S7" i="13"/>
  <c r="O13" i="13"/>
  <c r="C15" i="13"/>
  <c r="W3" i="14"/>
  <c r="I3" i="15"/>
  <c r="D8" i="15"/>
  <c r="AA8" i="15"/>
  <c r="X8" i="15"/>
  <c r="W8" i="15"/>
  <c r="T8" i="15"/>
  <c r="N8" i="15"/>
  <c r="M8" i="15"/>
  <c r="L8" i="15"/>
  <c r="N14" i="15"/>
  <c r="E14" i="15"/>
  <c r="X7" i="16"/>
  <c r="G12" i="17"/>
  <c r="AA14" i="8"/>
  <c r="C14" i="8"/>
  <c r="F3" i="14"/>
  <c r="O14" i="9"/>
  <c r="I8" i="10"/>
  <c r="M7" i="11"/>
  <c r="R6" i="5"/>
  <c r="H13" i="5"/>
  <c r="G2" i="10"/>
  <c r="M15" i="10"/>
  <c r="L6" i="6"/>
  <c r="R13" i="5"/>
  <c r="L15" i="5"/>
  <c r="O17" i="5"/>
  <c r="H7" i="7"/>
  <c r="P12" i="7"/>
  <c r="AA15" i="7"/>
  <c r="W3" i="8"/>
  <c r="N13" i="8"/>
  <c r="M15" i="8"/>
  <c r="M2" i="10"/>
  <c r="P14" i="10"/>
  <c r="R15" i="10"/>
  <c r="AB7" i="12"/>
  <c r="R2" i="13"/>
  <c r="Q3" i="5"/>
  <c r="N7" i="5"/>
  <c r="X13" i="5"/>
  <c r="M15" i="5"/>
  <c r="P17" i="5"/>
  <c r="C3" i="6"/>
  <c r="S3" i="5"/>
  <c r="U7" i="5"/>
  <c r="Y13" i="5"/>
  <c r="N15" i="5"/>
  <c r="Q17" i="5"/>
  <c r="F3" i="6"/>
  <c r="U12" i="6"/>
  <c r="F14" i="6"/>
  <c r="G15" i="6"/>
  <c r="M3" i="7"/>
  <c r="AA6" i="7"/>
  <c r="N6" i="7"/>
  <c r="K6" i="7"/>
  <c r="J7" i="7"/>
  <c r="K8" i="7"/>
  <c r="S12" i="7"/>
  <c r="AA13" i="7"/>
  <c r="D15" i="7"/>
  <c r="Z17" i="7"/>
  <c r="U2" i="8"/>
  <c r="AA3" i="8"/>
  <c r="S7" i="8"/>
  <c r="R12" i="8"/>
  <c r="P13" i="8"/>
  <c r="O14" i="8"/>
  <c r="U15" i="8"/>
  <c r="Y14" i="9"/>
  <c r="U2" i="10"/>
  <c r="G12" i="10"/>
  <c r="R14" i="10"/>
  <c r="U15" i="10"/>
  <c r="E3" i="11"/>
  <c r="R6" i="11"/>
  <c r="F14" i="11"/>
  <c r="L3" i="12"/>
  <c r="C8" i="12"/>
  <c r="V14" i="12"/>
  <c r="X2" i="13"/>
  <c r="U7" i="13"/>
  <c r="S13" i="13"/>
  <c r="D15" i="13"/>
  <c r="AB3" i="14"/>
  <c r="X2" i="15"/>
  <c r="H2" i="15"/>
  <c r="AB2" i="15"/>
  <c r="C2" i="15"/>
  <c r="Y2" i="15"/>
  <c r="V2" i="15"/>
  <c r="U2" i="15"/>
  <c r="Q2" i="15"/>
  <c r="O2" i="15"/>
  <c r="J3" i="15"/>
  <c r="C8" i="15"/>
  <c r="D14" i="15"/>
  <c r="Y7" i="16"/>
  <c r="H12" i="17"/>
  <c r="AB13" i="8"/>
  <c r="C2" i="8"/>
  <c r="E6" i="8"/>
  <c r="Z3" i="9"/>
  <c r="AB13" i="14"/>
  <c r="R13" i="14"/>
  <c r="E13" i="14"/>
  <c r="C12" i="11"/>
  <c r="Y12" i="11"/>
  <c r="G7" i="12"/>
  <c r="K3" i="14"/>
  <c r="N13" i="14"/>
  <c r="Z13" i="5"/>
  <c r="O15" i="5"/>
  <c r="V12" i="6"/>
  <c r="N17" i="6"/>
  <c r="M17" i="6"/>
  <c r="L17" i="6"/>
  <c r="N3" i="7"/>
  <c r="K7" i="7"/>
  <c r="L8" i="7"/>
  <c r="T12" i="7"/>
  <c r="AB13" i="7"/>
  <c r="AA17" i="7"/>
  <c r="V2" i="8"/>
  <c r="T7" i="8"/>
  <c r="S12" i="8"/>
  <c r="Q13" i="8"/>
  <c r="R14" i="8"/>
  <c r="Y15" i="8"/>
  <c r="Z14" i="9"/>
  <c r="Z2" i="10"/>
  <c r="S14" i="10"/>
  <c r="V15" i="10"/>
  <c r="T6" i="11"/>
  <c r="AB8" i="11"/>
  <c r="X8" i="11"/>
  <c r="T8" i="11"/>
  <c r="S8" i="11"/>
  <c r="P8" i="11"/>
  <c r="P12" i="11"/>
  <c r="G14" i="11"/>
  <c r="W14" i="12"/>
  <c r="Y2" i="13"/>
  <c r="W7" i="13"/>
  <c r="T13" i="13"/>
  <c r="F15" i="13"/>
  <c r="K3" i="15"/>
  <c r="E8" i="15"/>
  <c r="M14" i="15"/>
  <c r="AB7" i="16"/>
  <c r="F13" i="7"/>
  <c r="Z2" i="13"/>
  <c r="X7" i="13"/>
  <c r="Y12" i="6"/>
  <c r="W12" i="7"/>
  <c r="AA15" i="9"/>
  <c r="Y15" i="9"/>
  <c r="M15" i="9"/>
  <c r="D13" i="10"/>
  <c r="Y15" i="10"/>
  <c r="Q7" i="11"/>
  <c r="W7" i="11"/>
  <c r="T7" i="11"/>
  <c r="S7" i="11"/>
  <c r="R7" i="11"/>
  <c r="N7" i="11"/>
  <c r="U12" i="11"/>
  <c r="AB2" i="13"/>
  <c r="AA7" i="13"/>
  <c r="Z14" i="7"/>
  <c r="V14" i="7"/>
  <c r="U14" i="7"/>
  <c r="W2" i="8"/>
  <c r="R13" i="8"/>
  <c r="S14" i="8"/>
  <c r="Y2" i="7"/>
  <c r="M2" i="7"/>
  <c r="L2" i="7"/>
  <c r="Y12" i="9"/>
  <c r="X12" i="9"/>
  <c r="S12" i="9"/>
  <c r="R15" i="5"/>
  <c r="AB12" i="6"/>
  <c r="X12" i="7"/>
  <c r="F14" i="7"/>
  <c r="V13" i="8"/>
  <c r="C12" i="9"/>
  <c r="F13" i="10"/>
  <c r="X12" i="11"/>
  <c r="X15" i="12"/>
  <c r="H15" i="12"/>
  <c r="E15" i="12"/>
  <c r="AB15" i="12"/>
  <c r="D15" i="12"/>
  <c r="AA15" i="12"/>
  <c r="C15" i="12"/>
  <c r="W15" i="12"/>
  <c r="AA3" i="13"/>
  <c r="W3" i="13"/>
  <c r="V3" i="13"/>
  <c r="P3" i="13"/>
  <c r="L3" i="13"/>
  <c r="AB6" i="13"/>
  <c r="AA6" i="13"/>
  <c r="Z6" i="13"/>
  <c r="P6" i="13"/>
  <c r="K6" i="13"/>
  <c r="AB7" i="13"/>
  <c r="AB12" i="13"/>
  <c r="M12" i="13"/>
  <c r="I12" i="13"/>
  <c r="H12" i="13"/>
  <c r="D12" i="13"/>
  <c r="X17" i="18"/>
  <c r="V17" i="18"/>
  <c r="U17" i="18"/>
  <c r="S17" i="18"/>
  <c r="P17" i="18"/>
  <c r="O17" i="18"/>
  <c r="N17" i="18"/>
  <c r="M17" i="18"/>
  <c r="L17" i="18"/>
  <c r="J17" i="18"/>
  <c r="G17" i="18"/>
  <c r="E17" i="18"/>
  <c r="D17" i="18"/>
  <c r="C17" i="18"/>
  <c r="AB17" i="18"/>
  <c r="AA17" i="18"/>
  <c r="Y17" i="18"/>
  <c r="W17" i="18"/>
  <c r="W15" i="10"/>
  <c r="Q15" i="5"/>
  <c r="U13" i="8"/>
  <c r="T14" i="8"/>
  <c r="C3" i="9"/>
  <c r="V14" i="5"/>
  <c r="AA2" i="8"/>
  <c r="F3" i="9"/>
  <c r="C7" i="11"/>
  <c r="W14" i="5"/>
  <c r="S15" i="5"/>
  <c r="F17" i="6"/>
  <c r="H2" i="7"/>
  <c r="Y12" i="7"/>
  <c r="H14" i="7"/>
  <c r="D12" i="9"/>
  <c r="Z15" i="9"/>
  <c r="H13" i="10"/>
  <c r="AB15" i="10"/>
  <c r="Z12" i="11"/>
  <c r="F15" i="12"/>
  <c r="C3" i="13"/>
  <c r="G6" i="13"/>
  <c r="J12" i="13"/>
  <c r="Q6" i="17"/>
  <c r="M6" i="17"/>
  <c r="L6" i="17"/>
  <c r="G6" i="17"/>
  <c r="Z3" i="18"/>
  <c r="I3" i="18"/>
  <c r="D3" i="18"/>
  <c r="Y3" i="18"/>
  <c r="S3" i="18"/>
  <c r="R3" i="18"/>
  <c r="Q3" i="18"/>
  <c r="N3" i="18"/>
  <c r="M3" i="18"/>
  <c r="K3" i="18"/>
  <c r="J3" i="18"/>
  <c r="I17" i="18"/>
  <c r="X14" i="8"/>
  <c r="Q14" i="8"/>
  <c r="P14" i="8"/>
  <c r="O14" i="5"/>
  <c r="Z2" i="8"/>
  <c r="Y7" i="9"/>
  <c r="W7" i="9"/>
  <c r="V7" i="9"/>
  <c r="S7" i="9"/>
  <c r="G2" i="7"/>
  <c r="X14" i="9"/>
  <c r="M14" i="9"/>
  <c r="I14" i="9"/>
  <c r="H14" i="9"/>
  <c r="AB14" i="9"/>
  <c r="E14" i="9"/>
  <c r="K15" i="9"/>
  <c r="AA15" i="10"/>
  <c r="AB13" i="6"/>
  <c r="T13" i="6"/>
  <c r="S13" i="6"/>
  <c r="J3" i="8"/>
  <c r="G3" i="8"/>
  <c r="E3" i="8"/>
  <c r="Y12" i="8"/>
  <c r="W13" i="8"/>
  <c r="V14" i="8"/>
  <c r="G3" i="9"/>
  <c r="D7" i="9"/>
  <c r="W14" i="10"/>
  <c r="D7" i="11"/>
  <c r="AB7" i="5"/>
  <c r="Y14" i="5"/>
  <c r="T15" i="5"/>
  <c r="G13" i="6"/>
  <c r="M15" i="6"/>
  <c r="G17" i="6"/>
  <c r="I2" i="7"/>
  <c r="Z3" i="7"/>
  <c r="R7" i="7"/>
  <c r="R8" i="7"/>
  <c r="AB12" i="7"/>
  <c r="I14" i="7"/>
  <c r="J15" i="7"/>
  <c r="C3" i="8"/>
  <c r="Z12" i="8"/>
  <c r="X13" i="8"/>
  <c r="W14" i="8"/>
  <c r="F7" i="9"/>
  <c r="E12" i="9"/>
  <c r="D14" i="9"/>
  <c r="Y14" i="10"/>
  <c r="S3" i="11"/>
  <c r="E7" i="11"/>
  <c r="J8" i="11"/>
  <c r="AB12" i="11"/>
  <c r="Q14" i="11"/>
  <c r="J8" i="12"/>
  <c r="G15" i="12"/>
  <c r="D3" i="13"/>
  <c r="H6" i="13"/>
  <c r="L12" i="13"/>
  <c r="K15" i="13"/>
  <c r="Z7" i="14"/>
  <c r="W7" i="14"/>
  <c r="O7" i="14"/>
  <c r="L7" i="14"/>
  <c r="K7" i="14"/>
  <c r="J7" i="14"/>
  <c r="G7" i="14"/>
  <c r="D7" i="14"/>
  <c r="W3" i="15"/>
  <c r="X7" i="15"/>
  <c r="H7" i="15"/>
  <c r="AB7" i="15"/>
  <c r="E7" i="15"/>
  <c r="Z7" i="15"/>
  <c r="C7" i="15"/>
  <c r="V7" i="15"/>
  <c r="U7" i="15"/>
  <c r="T7" i="15"/>
  <c r="Q7" i="15"/>
  <c r="P7" i="15"/>
  <c r="O7" i="15"/>
  <c r="K8" i="15"/>
  <c r="C6" i="17"/>
  <c r="Z12" i="17"/>
  <c r="E3" i="18"/>
  <c r="Q17" i="18"/>
  <c r="Y15" i="14"/>
  <c r="S12" i="15"/>
  <c r="D2" i="18"/>
  <c r="AB8" i="18"/>
  <c r="Y12" i="18"/>
  <c r="H2" i="19"/>
  <c r="K3" i="19"/>
  <c r="N6" i="19"/>
  <c r="M8" i="19"/>
  <c r="C12" i="19"/>
  <c r="K13" i="19"/>
  <c r="T14" i="19"/>
  <c r="F2" i="18"/>
  <c r="C8" i="18"/>
  <c r="Z12" i="18"/>
  <c r="M2" i="19"/>
  <c r="M3" i="19"/>
  <c r="O6" i="19"/>
  <c r="N8" i="19"/>
  <c r="E12" i="19"/>
  <c r="L13" i="19"/>
  <c r="U14" i="19"/>
  <c r="S8" i="9"/>
  <c r="O14" i="13"/>
  <c r="U2" i="14"/>
  <c r="F6" i="14"/>
  <c r="D15" i="14"/>
  <c r="AA15" i="14"/>
  <c r="C14" i="16"/>
  <c r="G2" i="18"/>
  <c r="D8" i="18"/>
  <c r="AB12" i="18"/>
  <c r="N2" i="19"/>
  <c r="N3" i="19"/>
  <c r="R6" i="19"/>
  <c r="O8" i="19"/>
  <c r="F12" i="19"/>
  <c r="M13" i="19"/>
  <c r="V14" i="19"/>
  <c r="J2" i="18"/>
  <c r="O2" i="19"/>
  <c r="P3" i="19"/>
  <c r="W6" i="19"/>
  <c r="P8" i="19"/>
  <c r="G12" i="19"/>
  <c r="O13" i="19"/>
  <c r="AB14" i="19"/>
  <c r="X8" i="9"/>
  <c r="R14" i="13"/>
  <c r="Y2" i="14"/>
  <c r="J6" i="14"/>
  <c r="G15" i="14"/>
  <c r="W6" i="15"/>
  <c r="Z12" i="15"/>
  <c r="Z13" i="15"/>
  <c r="F6" i="16"/>
  <c r="J14" i="16"/>
  <c r="H8" i="17"/>
  <c r="H15" i="17"/>
  <c r="L17" i="17"/>
  <c r="L2" i="18"/>
  <c r="I6" i="18"/>
  <c r="G8" i="18"/>
  <c r="H13" i="18"/>
  <c r="R2" i="19"/>
  <c r="R3" i="19"/>
  <c r="R8" i="19"/>
  <c r="I12" i="19"/>
  <c r="Q13" i="19"/>
  <c r="C15" i="19"/>
  <c r="Y8" i="9"/>
  <c r="J13" i="11"/>
  <c r="S14" i="13"/>
  <c r="Z2" i="14"/>
  <c r="K6" i="14"/>
  <c r="H15" i="14"/>
  <c r="X6" i="15"/>
  <c r="AA12" i="15"/>
  <c r="AA13" i="15"/>
  <c r="G6" i="16"/>
  <c r="Y14" i="16"/>
  <c r="J8" i="17"/>
  <c r="I15" i="17"/>
  <c r="M17" i="17"/>
  <c r="M2" i="18"/>
  <c r="J6" i="18"/>
  <c r="J8" i="18"/>
  <c r="P13" i="18"/>
  <c r="S2" i="19"/>
  <c r="S3" i="19"/>
  <c r="S8" i="19"/>
  <c r="J12" i="19"/>
  <c r="T13" i="19"/>
  <c r="E15" i="19"/>
  <c r="T14" i="13"/>
  <c r="AA2" i="14"/>
  <c r="L6" i="14"/>
  <c r="I15" i="14"/>
  <c r="AB13" i="15"/>
  <c r="H6" i="16"/>
  <c r="N8" i="17"/>
  <c r="N15" i="17"/>
  <c r="O17" i="17"/>
  <c r="N2" i="18"/>
  <c r="K6" i="18"/>
  <c r="K8" i="18"/>
  <c r="U2" i="19"/>
  <c r="T3" i="19"/>
  <c r="T8" i="19"/>
  <c r="L12" i="19"/>
  <c r="V13" i="19"/>
  <c r="F15" i="19"/>
  <c r="V2" i="19"/>
  <c r="U3" i="19"/>
  <c r="V8" i="19"/>
  <c r="P12" i="19"/>
  <c r="W13" i="19"/>
  <c r="G15" i="19"/>
  <c r="G17" i="9"/>
  <c r="Y14" i="13"/>
  <c r="O6" i="14"/>
  <c r="L15" i="14"/>
  <c r="G12" i="15"/>
  <c r="E13" i="15"/>
  <c r="K6" i="16"/>
  <c r="Q8" i="17"/>
  <c r="U17" i="17"/>
  <c r="R2" i="18"/>
  <c r="Q6" i="18"/>
  <c r="O8" i="18"/>
  <c r="L14" i="18"/>
  <c r="X2" i="19"/>
  <c r="W3" i="19"/>
  <c r="Y8" i="19"/>
  <c r="R12" i="19"/>
  <c r="Z13" i="19"/>
  <c r="L15" i="19"/>
  <c r="C17" i="19"/>
  <c r="W17" i="17"/>
  <c r="S2" i="18"/>
  <c r="W6" i="18"/>
  <c r="P8" i="18"/>
  <c r="Q14" i="18"/>
  <c r="Z2" i="19"/>
  <c r="Y3" i="19"/>
  <c r="Z8" i="19"/>
  <c r="T12" i="19"/>
  <c r="AA13" i="19"/>
  <c r="M15" i="19"/>
  <c r="E17" i="19"/>
  <c r="M6" i="16"/>
  <c r="C13" i="17"/>
  <c r="X17" i="17"/>
  <c r="U2" i="18"/>
  <c r="R14" i="18"/>
  <c r="AB2" i="19"/>
  <c r="Z3" i="19"/>
  <c r="O15" i="19"/>
  <c r="F17" i="19"/>
  <c r="D13" i="17"/>
  <c r="V2" i="18"/>
  <c r="U14" i="18"/>
  <c r="AA3" i="19"/>
  <c r="AB8" i="19"/>
  <c r="V12" i="19"/>
  <c r="F14" i="19"/>
  <c r="P15" i="19"/>
  <c r="G17" i="19"/>
  <c r="S3" i="16"/>
  <c r="O6" i="16"/>
  <c r="U8" i="17"/>
  <c r="N13" i="17"/>
  <c r="Z17" i="17"/>
  <c r="X2" i="18"/>
  <c r="S8" i="18"/>
  <c r="V14" i="18"/>
  <c r="C3" i="19"/>
  <c r="AB3" i="19"/>
  <c r="C8" i="19"/>
  <c r="Y12" i="19"/>
  <c r="G14" i="19"/>
  <c r="Q15" i="19"/>
  <c r="M17" i="19"/>
  <c r="T6" i="14"/>
  <c r="Q15" i="14"/>
  <c r="L12" i="15"/>
  <c r="L17" i="15"/>
  <c r="Q6" i="16"/>
  <c r="V8" i="17"/>
  <c r="Q13" i="17"/>
  <c r="Y2" i="18"/>
  <c r="T8" i="18"/>
  <c r="X14" i="18"/>
  <c r="D3" i="19"/>
  <c r="D8" i="19"/>
  <c r="AA12" i="19"/>
  <c r="H14" i="19"/>
  <c r="W15" i="19"/>
  <c r="O17" i="19"/>
  <c r="E8" i="19"/>
  <c r="AB12" i="19"/>
  <c r="J14" i="19"/>
  <c r="Y15" i="19"/>
  <c r="Q17" i="19"/>
  <c r="K14" i="19"/>
  <c r="AA15" i="19"/>
  <c r="R17" i="19"/>
  <c r="AA8" i="17"/>
  <c r="G3" i="19"/>
  <c r="E6" i="19"/>
  <c r="G8" i="19"/>
  <c r="C13" i="19"/>
  <c r="L14" i="19"/>
  <c r="AB15" i="19"/>
  <c r="V17" i="19"/>
  <c r="H3" i="19"/>
  <c r="G6" i="19"/>
  <c r="H8" i="19"/>
  <c r="D13" i="19"/>
  <c r="O14" i="19"/>
  <c r="Y17" i="19"/>
  <c r="C2" i="19"/>
  <c r="I3" i="19"/>
  <c r="H6" i="19"/>
  <c r="J8" i="19"/>
  <c r="E13" i="19"/>
  <c r="Q14" i="19"/>
  <c r="AA17" i="19"/>
  <c r="F2" i="19"/>
  <c r="J3" i="19"/>
  <c r="J6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<sst xmlns="http://schemas.openxmlformats.org/spreadsheetml/2006/main" count="3113" uniqueCount="587">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</sst>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139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OH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4.1561525225192207E-2</v>
      </c>
      <c r="C2" s="7">
        <f>$B2 * IFERROR(VLOOKUP("transport|PM25|Premature mortality", US_national_yearly!$D:$AM, 11, FALSE) / VLOOKUP("transport|PM25|Premature mortality", US_national_yearly!$D:$AM, 10, FALSE), 1)</f>
        <v>4.2076797056478356E-2</v>
      </c>
      <c r="D2" s="7">
        <f>$B2 * IFERROR(VLOOKUP("transport|PM25|Premature mortality", US_national_yearly!$D:$AM, 12, FALSE) / VLOOKUP("transport|PM25|Premature mortality", US_national_yearly!$D:$AM, 10, FALSE), 1)</f>
        <v>4.2592068887764491E-2</v>
      </c>
      <c r="E2" s="7">
        <f>$B2 * IFERROR(VLOOKUP("transport|PM25|Premature mortality", US_national_yearly!$D:$AM, 13, FALSE) / VLOOKUP("transport|PM25|Premature mortality", US_national_yearly!$D:$AM, 10, FALSE), 1)</f>
        <v>4.3107340719050632E-2</v>
      </c>
      <c r="F2" s="7">
        <f>$B2 * IFERROR(VLOOKUP("transport|PM25|Premature mortality", US_national_yearly!$D:$AM, 14, FALSE) / VLOOKUP("transport|PM25|Premature mortality", US_national_yearly!$D:$AM, 10, FALSE), 1)</f>
        <v>4.3622612550336767E-2</v>
      </c>
      <c r="G2" s="7">
        <f>$B2 * IFERROR(VLOOKUP("transport|PM25|Premature mortality", US_national_yearly!$D:$AM, 15, FALSE) / VLOOKUP("transport|PM25|Premature mortality", US_national_yearly!$D:$AM, 10, FALSE), 1)</f>
        <v>4.4626100555678366E-2</v>
      </c>
      <c r="H2" s="7">
        <f>$B2 * IFERROR(VLOOKUP("transport|PM25|Premature mortality", US_national_yearly!$D:$AM, 16, FALSE) / VLOOKUP("transport|PM25|Premature mortality", US_national_yearly!$D:$AM, 10, FALSE), 1)</f>
        <v>4.5629588561019965E-2</v>
      </c>
      <c r="I2" s="7">
        <f>$B2 * IFERROR(VLOOKUP("transport|PM25|Premature mortality", US_national_yearly!$D:$AM, 17, FALSE) / VLOOKUP("transport|PM25|Premature mortality", US_national_yearly!$D:$AM, 10, FALSE), 1)</f>
        <v>4.6288721724891818E-2</v>
      </c>
      <c r="J2" s="7">
        <f>$B2 * IFERROR(VLOOKUP("transport|PM25|Premature mortality", US_national_yearly!$D:$AM, 18, FALSE) / VLOOKUP("transport|PM25|Premature mortality", US_national_yearly!$D:$AM, 10, FALSE), 1)</f>
        <v>4.6947854888763685E-2</v>
      </c>
      <c r="K2" s="7">
        <f>$B2 * IFERROR(VLOOKUP("transport|PM25|Premature mortality", US_national_yearly!$D:$AM, 19, FALSE) / VLOOKUP("transport|PM25|Premature mortality", US_national_yearly!$D:$AM, 10, FALSE), 1)</f>
        <v>4.7606988052635545E-2</v>
      </c>
      <c r="L2" s="7">
        <f>$B2 * IFERROR(VLOOKUP("transport|PM25|Premature mortality", US_national_yearly!$D:$AM, 20, FALSE) / VLOOKUP("transport|PM25|Premature mortality", US_national_yearly!$D:$AM, 10, FALSE), 1)</f>
        <v>4.8266121216507411E-2</v>
      </c>
      <c r="M2" s="7">
        <f>$B2 * IFERROR(VLOOKUP("transport|PM25|Premature mortality", US_national_yearly!$D:$AM, 21, FALSE) / VLOOKUP("transport|PM25|Premature mortality", US_national_yearly!$D:$AM, 10, FALSE), 1)</f>
        <v>4.8925254380379271E-2</v>
      </c>
      <c r="N2" s="7">
        <f>$B2 * IFERROR(VLOOKUP("transport|PM25|Premature mortality", US_national_yearly!$D:$AM, 22, FALSE) / VLOOKUP("transport|PM25|Premature mortality", US_national_yearly!$D:$AM, 10, FALSE), 1)</f>
        <v>4.9437029332228717E-2</v>
      </c>
      <c r="O2" s="7">
        <f>$B2 * IFERROR(VLOOKUP("transport|PM25|Premature mortality", US_national_yearly!$D:$AM, 23, FALSE) / VLOOKUP("transport|PM25|Premature mortality", US_national_yearly!$D:$AM, 10, FALSE), 1)</f>
        <v>4.9948804284078156E-2</v>
      </c>
      <c r="P2" s="7">
        <f>$B2 * IFERROR(VLOOKUP("transport|PM25|Premature mortality", US_national_yearly!$D:$AM, 24, FALSE) / VLOOKUP("transport|PM25|Premature mortality", US_national_yearly!$D:$AM, 10, FALSE), 1)</f>
        <v>5.0460579235927602E-2</v>
      </c>
      <c r="Q2" s="7">
        <f>$B2 * IFERROR(VLOOKUP("transport|PM25|Premature mortality", US_national_yearly!$D:$AM, 25, FALSE) / VLOOKUP("transport|PM25|Premature mortality", US_national_yearly!$D:$AM, 10, FALSE), 1)</f>
        <v>5.0972354187777041E-2</v>
      </c>
      <c r="R2" s="7">
        <f>$B2 * IFERROR(VLOOKUP("transport|PM25|Premature mortality", US_national_yearly!$D:$AM, 26, FALSE) / VLOOKUP("transport|PM25|Premature mortality", US_national_yearly!$D:$AM, 10, FALSE), 1)</f>
        <v>5.1484129139626494E-2</v>
      </c>
      <c r="S2" s="7">
        <f>$B2 * IFERROR(VLOOKUP("transport|PM25|Premature mortality", US_national_yearly!$D:$AM, 27, FALSE) / VLOOKUP("transport|PM25|Premature mortality", US_national_yearly!$D:$AM, 10, FALSE), 1)</f>
        <v>5.1755252303775708E-2</v>
      </c>
      <c r="T2" s="7">
        <f>$B2 * IFERROR(VLOOKUP("transport|PM25|Premature mortality", US_national_yearly!$D:$AM, 28, FALSE) / VLOOKUP("transport|PM25|Premature mortality", US_national_yearly!$D:$AM, 10, FALSE), 1)</f>
        <v>5.2026375467924907E-2</v>
      </c>
      <c r="U2" s="7">
        <f>$B2 * IFERROR(VLOOKUP("transport|PM25|Premature mortality", US_national_yearly!$D:$AM, 29, FALSE) / VLOOKUP("transport|PM25|Premature mortality", US_national_yearly!$D:$AM, 10, FALSE), 1)</f>
        <v>5.2297498632074113E-2</v>
      </c>
      <c r="V2" s="7">
        <f>$B2 * IFERROR(VLOOKUP("transport|PM25|Premature mortality", US_national_yearly!$D:$AM, 30, FALSE) / VLOOKUP("transport|PM25|Premature mortality", US_national_yearly!$D:$AM, 10, FALSE), 1)</f>
        <v>5.2568621796223319E-2</v>
      </c>
      <c r="W2" s="7">
        <f>$B2 * IFERROR(VLOOKUP("transport|PM25|Premature mortality", US_national_yearly!$D:$AM, 31, FALSE) / VLOOKUP("transport|PM25|Premature mortality", US_national_yearly!$D:$AM, 10, FALSE), 1)</f>
        <v>5.2839744960372519E-2</v>
      </c>
      <c r="X2" s="7">
        <f>$B2 * IFERROR(VLOOKUP("transport|PM25|Premature mortality", US_national_yearly!$D:$AM, 32, FALSE) / VLOOKUP("transport|PM25|Premature mortality", US_national_yearly!$D:$AM, 10, FALSE), 1)</f>
        <v>5.2887152942906968E-2</v>
      </c>
      <c r="Y2" s="7">
        <f>$B2 * IFERROR(VLOOKUP("transport|PM25|Premature mortality", US_national_yearly!$D:$AM, 33, FALSE) / VLOOKUP("transport|PM25|Premature mortality", US_national_yearly!$D:$AM, 10, FALSE), 1)</f>
        <v>5.293456092544143E-2</v>
      </c>
      <c r="Z2" s="7">
        <f>$B2 * IFERROR(VLOOKUP("transport|PM25|Premature mortality", US_national_yearly!$D:$AM, 34, FALSE) / VLOOKUP("transport|PM25|Premature mortality", US_national_yearly!$D:$AM, 10, FALSE), 1)</f>
        <v>5.2981968907975879E-2</v>
      </c>
      <c r="AA2" s="7">
        <f>$B2 * IFERROR(VLOOKUP("transport|PM25|Premature mortality", US_national_yearly!$D:$AM, 35, FALSE) / VLOOKUP("transport|PM25|Premature mortality", US_national_yearly!$D:$AM, 10, FALSE), 1)</f>
        <v>5.3029376890510342E-2</v>
      </c>
      <c r="AB2" s="7">
        <f>$B2 * IFERROR(VLOOKUP("transport|PM25|Premature mortality", US_national_yearly!$D:$AM, 36, FALSE) / VLOOKUP("transport|PM25|Premature mortality", US_national_yearly!$D:$AM, 10, FALSE), 1)</f>
        <v>5.3076784873044791E-2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1.1068635475558902E-4</v>
      </c>
      <c r="C3" s="7">
        <f>$B3 * IFERROR(VLOOKUP("transport|PM25|Infant mortality", US_national_yearly!$D:$AM, 11, FALSE) / VLOOKUP("transport|PM25|Infant mortality", US_national_yearly!$D:$AM, 10, FALSE), 1)</f>
        <v>1.0972127074413892E-4</v>
      </c>
      <c r="D3" s="7">
        <f>$B3 * IFERROR(VLOOKUP("transport|PM25|Infant mortality", US_national_yearly!$D:$AM, 12, FALSE) / VLOOKUP("transport|PM25|Infant mortality", US_national_yearly!$D:$AM, 10, FALSE), 1)</f>
        <v>1.0875618673268881E-4</v>
      </c>
      <c r="E3" s="7">
        <f>$B3 * IFERROR(VLOOKUP("transport|PM25|Infant mortality", US_national_yearly!$D:$AM, 13, FALSE) / VLOOKUP("transport|PM25|Infant mortality", US_national_yearly!$D:$AM, 10, FALSE), 1)</f>
        <v>1.0779110272123871E-4</v>
      </c>
      <c r="F3" s="7">
        <f>$B3 * IFERROR(VLOOKUP("transport|PM25|Infant mortality", US_national_yearly!$D:$AM, 14, FALSE) / VLOOKUP("transport|PM25|Infant mortality", US_national_yearly!$D:$AM, 10, FALSE), 1)</f>
        <v>1.068260187097886E-4</v>
      </c>
      <c r="G3" s="7">
        <f>$B3 * IFERROR(VLOOKUP("transport|PM25|Infant mortality", US_national_yearly!$D:$AM, 15, FALSE) / VLOOKUP("transport|PM25|Infant mortality", US_national_yearly!$D:$AM, 10, FALSE), 1)</f>
        <v>7.1045016774710861E-5</v>
      </c>
      <c r="H3" s="7">
        <f>$B3 * IFERROR(VLOOKUP("transport|PM25|Infant mortality", US_national_yearly!$D:$AM, 16, FALSE) / VLOOKUP("transport|PM25|Infant mortality", US_national_yearly!$D:$AM, 10, FALSE), 1)</f>
        <v>3.526401483963311E-5</v>
      </c>
      <c r="I3" s="7">
        <f>$B3 * IFERROR(VLOOKUP("transport|PM25|Infant mortality", US_national_yearly!$D:$AM, 17, FALSE) / VLOOKUP("transport|PM25|Infant mortality", US_national_yearly!$D:$AM, 10, FALSE), 1)</f>
        <v>3.5033506251698414E-5</v>
      </c>
      <c r="J3" s="7">
        <f>$B3 * IFERROR(VLOOKUP("transport|PM25|Infant mortality", US_national_yearly!$D:$AM, 18, FALSE) / VLOOKUP("transport|PM25|Infant mortality", US_national_yearly!$D:$AM, 10, FALSE), 1)</f>
        <v>3.4802997663763719E-5</v>
      </c>
      <c r="K3" s="7">
        <f>$B3 * IFERROR(VLOOKUP("transport|PM25|Infant mortality", US_national_yearly!$D:$AM, 19, FALSE) / VLOOKUP("transport|PM25|Infant mortality", US_national_yearly!$D:$AM, 10, FALSE), 1)</f>
        <v>3.4572489075829017E-5</v>
      </c>
      <c r="L3" s="7">
        <f>$B3 * IFERROR(VLOOKUP("transport|PM25|Infant mortality", US_national_yearly!$D:$AM, 20, FALSE) / VLOOKUP("transport|PM25|Infant mortality", US_national_yearly!$D:$AM, 10, FALSE), 1)</f>
        <v>3.4341980487894328E-5</v>
      </c>
      <c r="M3" s="7">
        <f>$B3 * IFERROR(VLOOKUP("transport|PM25|Infant mortality", US_national_yearly!$D:$AM, 21, FALSE) / VLOOKUP("transport|PM25|Infant mortality", US_national_yearly!$D:$AM, 10, FALSE), 1)</f>
        <v>3.4111471899959633E-5</v>
      </c>
      <c r="N3" s="7">
        <f>$B3 * IFERROR(VLOOKUP("transport|PM25|Infant mortality", US_national_yearly!$D:$AM, 22, FALSE) / VLOOKUP("transport|PM25|Infant mortality", US_national_yearly!$D:$AM, 10, FALSE), 1)</f>
        <v>3.3966686986943582E-5</v>
      </c>
      <c r="O3" s="7">
        <f>$B3 * IFERROR(VLOOKUP("transport|PM25|Infant mortality", US_national_yearly!$D:$AM, 23, FALSE) / VLOOKUP("transport|PM25|Infant mortality", US_national_yearly!$D:$AM, 10, FALSE), 1)</f>
        <v>3.3821902073927539E-5</v>
      </c>
      <c r="P3" s="7">
        <f>$B3 * IFERROR(VLOOKUP("transport|PM25|Infant mortality", US_national_yearly!$D:$AM, 24, FALSE) / VLOOKUP("transport|PM25|Infant mortality", US_national_yearly!$D:$AM, 10, FALSE), 1)</f>
        <v>3.3677117160911482E-5</v>
      </c>
      <c r="Q3" s="7">
        <f>$B3 * IFERROR(VLOOKUP("transport|PM25|Infant mortality", US_national_yearly!$D:$AM, 25, FALSE) / VLOOKUP("transport|PM25|Infant mortality", US_national_yearly!$D:$AM, 10, FALSE), 1)</f>
        <v>3.3532332247895432E-5</v>
      </c>
      <c r="R3" s="7">
        <f>$B3 * IFERROR(VLOOKUP("transport|PM25|Infant mortality", US_national_yearly!$D:$AM, 26, FALSE) / VLOOKUP("transport|PM25|Infant mortality", US_national_yearly!$D:$AM, 10, FALSE), 1)</f>
        <v>3.3387547334879382E-5</v>
      </c>
      <c r="S3" s="7">
        <f>$B3 * IFERROR(VLOOKUP("transport|PM25|Infant mortality", US_national_yearly!$D:$AM, 27, FALSE) / VLOOKUP("transport|PM25|Infant mortality", US_national_yearly!$D:$AM, 10, FALSE), 1)</f>
        <v>3.3207069980445872E-5</v>
      </c>
      <c r="T3" s="7">
        <f>$B3 * IFERROR(VLOOKUP("transport|PM25|Infant mortality", US_national_yearly!$D:$AM, 28, FALSE) / VLOOKUP("transport|PM25|Infant mortality", US_national_yearly!$D:$AM, 10, FALSE), 1)</f>
        <v>3.3026592626012356E-5</v>
      </c>
      <c r="U3" s="7">
        <f>$B3 * IFERROR(VLOOKUP("transport|PM25|Infant mortality", US_national_yearly!$D:$AM, 29, FALSE) / VLOOKUP("transport|PM25|Infant mortality", US_national_yearly!$D:$AM, 10, FALSE), 1)</f>
        <v>3.2846115271578846E-5</v>
      </c>
      <c r="V3" s="7">
        <f>$B3 * IFERROR(VLOOKUP("transport|PM25|Infant mortality", US_national_yearly!$D:$AM, 30, FALSE) / VLOOKUP("transport|PM25|Infant mortality", US_national_yearly!$D:$AM, 10, FALSE), 1)</f>
        <v>3.2665637917145336E-5</v>
      </c>
      <c r="W3" s="7">
        <f>$B3 * IFERROR(VLOOKUP("transport|PM25|Infant mortality", US_national_yearly!$D:$AM, 31, FALSE) / VLOOKUP("transport|PM25|Infant mortality", US_national_yearly!$D:$AM, 10, FALSE), 1)</f>
        <v>3.248516056271182E-5</v>
      </c>
      <c r="X3" s="7">
        <f>$B3 * IFERROR(VLOOKUP("transport|PM25|Infant mortality", US_national_yearly!$D:$AM, 32, FALSE) / VLOOKUP("transport|PM25|Infant mortality", US_national_yearly!$D:$AM, 10, FALSE), 1)</f>
        <v>3.2290583291008827E-5</v>
      </c>
      <c r="Y3" s="7">
        <f>$B3 * IFERROR(VLOOKUP("transport|PM25|Infant mortality", US_national_yearly!$D:$AM, 33, FALSE) / VLOOKUP("transport|PM25|Infant mortality", US_national_yearly!$D:$AM, 10, FALSE), 1)</f>
        <v>3.2096006019305821E-5</v>
      </c>
      <c r="Z3" s="7">
        <f>$B3 * IFERROR(VLOOKUP("transport|PM25|Infant mortality", US_national_yearly!$D:$AM, 34, FALSE) / VLOOKUP("transport|PM25|Infant mortality", US_national_yearly!$D:$AM, 10, FALSE), 1)</f>
        <v>3.1901428747602829E-5</v>
      </c>
      <c r="AA3" s="7">
        <f>$B3 * IFERROR(VLOOKUP("transport|PM25|Infant mortality", US_national_yearly!$D:$AM, 35, FALSE) / VLOOKUP("transport|PM25|Infant mortality", US_national_yearly!$D:$AM, 10, FALSE), 1)</f>
        <v>3.1706851475899836E-5</v>
      </c>
      <c r="AB3" s="7">
        <f>$B3 * IFERROR(VLOOKUP("transport|PM25|Infant mortality", US_national_yearly!$D:$AM, 36, FALSE) / VLOOKUP("transport|PM25|Infant mortality", US_national_yearly!$D:$AM, 10, FALSE), 1)</f>
        <v>3.1512274204196844E-5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9.2055401999176681E-2</v>
      </c>
      <c r="C6" s="7">
        <f>$B6 * IFERROR(VLOOKUP("transport|PM25|Asthma symptoms cough", US_national_yearly!$D:$AM, 11, FALSE) / VLOOKUP("transport|PM25|Asthma symptoms cough", US_national_yearly!$D:$AM, 10, FALSE), 1)</f>
        <v>9.2055401999176681E-2</v>
      </c>
      <c r="D6" s="7">
        <f>$B6 * IFERROR(VLOOKUP("transport|PM25|Asthma symptoms cough", US_national_yearly!$D:$AM, 12, FALSE) / VLOOKUP("transport|PM25|Asthma symptoms cough", US_national_yearly!$D:$AM, 10, FALSE), 1)</f>
        <v>9.2055401999176681E-2</v>
      </c>
      <c r="E6" s="7">
        <f>$B6 * IFERROR(VLOOKUP("transport|PM25|Asthma symptoms cough", US_national_yearly!$D:$AM, 13, FALSE) / VLOOKUP("transport|PM25|Asthma symptoms cough", US_national_yearly!$D:$AM, 10, FALSE), 1)</f>
        <v>9.2055401999176681E-2</v>
      </c>
      <c r="F6" s="7">
        <f>$B6 * IFERROR(VLOOKUP("transport|PM25|Asthma symptoms cough", US_national_yearly!$D:$AM, 14, FALSE) / VLOOKUP("transport|PM25|Asthma symptoms cough", US_national_yearly!$D:$AM, 10, FALSE), 1)</f>
        <v>9.2055401999176681E-2</v>
      </c>
      <c r="G6" s="7">
        <f>$B6 * IFERROR(VLOOKUP("transport|PM25|Asthma symptoms cough", US_national_yearly!$D:$AM, 15, FALSE) / VLOOKUP("transport|PM25|Asthma symptoms cough", US_national_yearly!$D:$AM, 10, FALSE), 1)</f>
        <v>9.2055401999176681E-2</v>
      </c>
      <c r="H6" s="7">
        <f>$B6 * IFERROR(VLOOKUP("transport|PM25|Asthma symptoms cough", US_national_yearly!$D:$AM, 16, FALSE) / VLOOKUP("transport|PM25|Asthma symptoms cough", US_national_yearly!$D:$AM, 10, FALSE), 1)</f>
        <v>9.2055401999176681E-2</v>
      </c>
      <c r="I6" s="7">
        <f>$B6 * IFERROR(VLOOKUP("transport|PM25|Asthma symptoms cough", US_national_yearly!$D:$AM, 17, FALSE) / VLOOKUP("transport|PM25|Asthma symptoms cough", US_national_yearly!$D:$AM, 10, FALSE), 1)</f>
        <v>9.2055401999176681E-2</v>
      </c>
      <c r="J6" s="7">
        <f>$B6 * IFERROR(VLOOKUP("transport|PM25|Asthma symptoms cough", US_national_yearly!$D:$AM, 18, FALSE) / VLOOKUP("transport|PM25|Asthma symptoms cough", US_national_yearly!$D:$AM, 10, FALSE), 1)</f>
        <v>9.2055401999176681E-2</v>
      </c>
      <c r="K6" s="7">
        <f>$B6 * IFERROR(VLOOKUP("transport|PM25|Asthma symptoms cough", US_national_yearly!$D:$AM, 19, FALSE) / VLOOKUP("transport|PM25|Asthma symptoms cough", US_national_yearly!$D:$AM, 10, FALSE), 1)</f>
        <v>9.2055401999176681E-2</v>
      </c>
      <c r="L6" s="7">
        <f>$B6 * IFERROR(VLOOKUP("transport|PM25|Asthma symptoms cough", US_national_yearly!$D:$AM, 20, FALSE) / VLOOKUP("transport|PM25|Asthma symptoms cough", US_national_yearly!$D:$AM, 10, FALSE), 1)</f>
        <v>9.2055401999176681E-2</v>
      </c>
      <c r="M6" s="7">
        <f>$B6 * IFERROR(VLOOKUP("transport|PM25|Asthma symptoms cough", US_national_yearly!$D:$AM, 21, FALSE) / VLOOKUP("transport|PM25|Asthma symptoms cough", US_national_yearly!$D:$AM, 10, FALSE), 1)</f>
        <v>9.2055401999176681E-2</v>
      </c>
      <c r="N6" s="7">
        <f>$B6 * IFERROR(VLOOKUP("transport|PM25|Asthma symptoms cough", US_national_yearly!$D:$AM, 22, FALSE) / VLOOKUP("transport|PM25|Asthma symptoms cough", US_national_yearly!$D:$AM, 10, FALSE), 1)</f>
        <v>9.2055401999176681E-2</v>
      </c>
      <c r="O6" s="7">
        <f>$B6 * IFERROR(VLOOKUP("transport|PM25|Asthma symptoms cough", US_national_yearly!$D:$AM, 23, FALSE) / VLOOKUP("transport|PM25|Asthma symptoms cough", US_national_yearly!$D:$AM, 10, FALSE), 1)</f>
        <v>9.2055401999176681E-2</v>
      </c>
      <c r="P6" s="7">
        <f>$B6 * IFERROR(VLOOKUP("transport|PM25|Asthma symptoms cough", US_national_yearly!$D:$AM, 24, FALSE) / VLOOKUP("transport|PM25|Asthma symptoms cough", US_national_yearly!$D:$AM, 10, FALSE), 1)</f>
        <v>9.2055401999176681E-2</v>
      </c>
      <c r="Q6" s="7">
        <f>$B6 * IFERROR(VLOOKUP("transport|PM25|Asthma symptoms cough", US_national_yearly!$D:$AM, 25, FALSE) / VLOOKUP("transport|PM25|Asthma symptoms cough", US_national_yearly!$D:$AM, 10, FALSE), 1)</f>
        <v>9.2055401999176681E-2</v>
      </c>
      <c r="R6" s="7">
        <f>$B6 * IFERROR(VLOOKUP("transport|PM25|Asthma symptoms cough", US_national_yearly!$D:$AM, 26, FALSE) / VLOOKUP("transport|PM25|Asthma symptoms cough", US_national_yearly!$D:$AM, 10, FALSE), 1)</f>
        <v>9.2055401999176681E-2</v>
      </c>
      <c r="S6" s="7">
        <f>$B6 * IFERROR(VLOOKUP("transport|PM25|Asthma symptoms cough", US_national_yearly!$D:$AM, 27, FALSE) / VLOOKUP("transport|PM25|Asthma symptoms cough", US_national_yearly!$D:$AM, 10, FALSE), 1)</f>
        <v>9.2055401999176681E-2</v>
      </c>
      <c r="T6" s="7">
        <f>$B6 * IFERROR(VLOOKUP("transport|PM25|Asthma symptoms cough", US_national_yearly!$D:$AM, 28, FALSE) / VLOOKUP("transport|PM25|Asthma symptoms cough", US_national_yearly!$D:$AM, 10, FALSE), 1)</f>
        <v>9.2055401999176681E-2</v>
      </c>
      <c r="U6" s="7">
        <f>$B6 * IFERROR(VLOOKUP("transport|PM25|Asthma symptoms cough", US_national_yearly!$D:$AM, 29, FALSE) / VLOOKUP("transport|PM25|Asthma symptoms cough", US_national_yearly!$D:$AM, 10, FALSE), 1)</f>
        <v>9.2055401999176681E-2</v>
      </c>
      <c r="V6" s="7">
        <f>$B6 * IFERROR(VLOOKUP("transport|PM25|Asthma symptoms cough", US_national_yearly!$D:$AM, 30, FALSE) / VLOOKUP("transport|PM25|Asthma symptoms cough", US_national_yearly!$D:$AM, 10, FALSE), 1)</f>
        <v>9.2055401999176681E-2</v>
      </c>
      <c r="W6" s="7">
        <f>$B6 * IFERROR(VLOOKUP("transport|PM25|Asthma symptoms cough", US_national_yearly!$D:$AM, 31, FALSE) / VLOOKUP("transport|PM25|Asthma symptoms cough", US_national_yearly!$D:$AM, 10, FALSE), 1)</f>
        <v>9.2055401999176681E-2</v>
      </c>
      <c r="X6" s="7">
        <f>$B6 * IFERROR(VLOOKUP("transport|PM25|Asthma symptoms cough", US_national_yearly!$D:$AM, 32, FALSE) / VLOOKUP("transport|PM25|Asthma symptoms cough", US_national_yearly!$D:$AM, 10, FALSE), 1)</f>
        <v>9.2055401999176681E-2</v>
      </c>
      <c r="Y6" s="7">
        <f>$B6 * IFERROR(VLOOKUP("transport|PM25|Asthma symptoms cough", US_national_yearly!$D:$AM, 33, FALSE) / VLOOKUP("transport|PM25|Asthma symptoms cough", US_national_yearly!$D:$AM, 10, FALSE), 1)</f>
        <v>9.2055401999176681E-2</v>
      </c>
      <c r="Z6" s="7">
        <f>$B6 * IFERROR(VLOOKUP("transport|PM25|Asthma symptoms cough", US_national_yearly!$D:$AM, 34, FALSE) / VLOOKUP("transport|PM25|Asthma symptoms cough", US_national_yearly!$D:$AM, 10, FALSE), 1)</f>
        <v>9.2055401999176681E-2</v>
      </c>
      <c r="AA6" s="7">
        <f>$B6 * IFERROR(VLOOKUP("transport|PM25|Asthma symptoms cough", US_national_yearly!$D:$AM, 35, FALSE) / VLOOKUP("transport|PM25|Asthma symptoms cough", US_national_yearly!$D:$AM, 10, FALSE), 1)</f>
        <v>9.2055401999176681E-2</v>
      </c>
      <c r="AB6" s="7">
        <f>$B6 * IFERROR(VLOOKUP("transport|PM25|Asthma symptoms cough", US_national_yearly!$D:$AM, 36, FALSE) / VLOOKUP("transport|PM25|Asthma symptoms cough", US_national_yearly!$D:$AM, 10, FALSE), 1)</f>
        <v>9.2055401999176681E-2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0.12396290876730116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0.12396290876730116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0.12396290876730116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0.12396290876730116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0.12396290876730116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0.12396290876730116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0.12396290876730116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0.12396290876730116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0.12396290876730116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0.12396290876730116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0.12396290876730116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0.12396290876730116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0.12396290876730116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0.12396290876730116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0.12396290876730116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0.12396290876730116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0.12396290876730116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0.12396290876730116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0.12396290876730116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0.12396290876730116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0.12396290876730116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0.12396290876730116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0.12396290876730116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0.12396290876730116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0.12396290876730116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0.12396290876730116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0.12396290876730116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0.18940518336506446</v>
      </c>
      <c r="C8" s="7">
        <f>$B8 * IFERROR(VLOOKUP("transport|PM25|Asthma symptoms wheeze", US_national_yearly!$D:$AM, 11, FALSE) / VLOOKUP("transport|PM25|Asthma symptoms wheeze", US_national_yearly!$D:$AM, 10, FALSE), 1)</f>
        <v>0.18940518336506446</v>
      </c>
      <c r="D8" s="7">
        <f>$B8 * IFERROR(VLOOKUP("transport|PM25|Asthma symptoms wheeze", US_national_yearly!$D:$AM, 12, FALSE) / VLOOKUP("transport|PM25|Asthma symptoms wheeze", US_national_yearly!$D:$AM, 10, FALSE), 1)</f>
        <v>0.18940518336506446</v>
      </c>
      <c r="E8" s="7">
        <f>$B8 * IFERROR(VLOOKUP("transport|PM25|Asthma symptoms wheeze", US_national_yearly!$D:$AM, 13, FALSE) / VLOOKUP("transport|PM25|Asthma symptoms wheeze", US_national_yearly!$D:$AM, 10, FALSE), 1)</f>
        <v>0.18940518336506446</v>
      </c>
      <c r="F8" s="7">
        <f>$B8 * IFERROR(VLOOKUP("transport|PM25|Asthma symptoms wheeze", US_national_yearly!$D:$AM, 14, FALSE) / VLOOKUP("transport|PM25|Asthma symptoms wheeze", US_national_yearly!$D:$AM, 10, FALSE), 1)</f>
        <v>0.18940518336506446</v>
      </c>
      <c r="G8" s="7">
        <f>$B8 * IFERROR(VLOOKUP("transport|PM25|Asthma symptoms wheeze", US_national_yearly!$D:$AM, 15, FALSE) / VLOOKUP("transport|PM25|Asthma symptoms wheeze", US_national_yearly!$D:$AM, 10, FALSE), 1)</f>
        <v>0.18940518336506446</v>
      </c>
      <c r="H8" s="7">
        <f>$B8 * IFERROR(VLOOKUP("transport|PM25|Asthma symptoms wheeze", US_national_yearly!$D:$AM, 16, FALSE) / VLOOKUP("transport|PM25|Asthma symptoms wheeze", US_national_yearly!$D:$AM, 10, FALSE), 1)</f>
        <v>0.18940518336506446</v>
      </c>
      <c r="I8" s="7">
        <f>$B8 * IFERROR(VLOOKUP("transport|PM25|Asthma symptoms wheeze", US_national_yearly!$D:$AM, 17, FALSE) / VLOOKUP("transport|PM25|Asthma symptoms wheeze", US_national_yearly!$D:$AM, 10, FALSE), 1)</f>
        <v>0.18940518336506446</v>
      </c>
      <c r="J8" s="7">
        <f>$B8 * IFERROR(VLOOKUP("transport|PM25|Asthma symptoms wheeze", US_national_yearly!$D:$AM, 18, FALSE) / VLOOKUP("transport|PM25|Asthma symptoms wheeze", US_national_yearly!$D:$AM, 10, FALSE), 1)</f>
        <v>0.18940518336506446</v>
      </c>
      <c r="K8" s="7">
        <f>$B8 * IFERROR(VLOOKUP("transport|PM25|Asthma symptoms wheeze", US_national_yearly!$D:$AM, 19, FALSE) / VLOOKUP("transport|PM25|Asthma symptoms wheeze", US_national_yearly!$D:$AM, 10, FALSE), 1)</f>
        <v>0.18940518336506446</v>
      </c>
      <c r="L8" s="7">
        <f>$B8 * IFERROR(VLOOKUP("transport|PM25|Asthma symptoms wheeze", US_national_yearly!$D:$AM, 20, FALSE) / VLOOKUP("transport|PM25|Asthma symptoms wheeze", US_national_yearly!$D:$AM, 10, FALSE), 1)</f>
        <v>0.18940518336506446</v>
      </c>
      <c r="M8" s="7">
        <f>$B8 * IFERROR(VLOOKUP("transport|PM25|Asthma symptoms wheeze", US_national_yearly!$D:$AM, 21, FALSE) / VLOOKUP("transport|PM25|Asthma symptoms wheeze", US_national_yearly!$D:$AM, 10, FALSE), 1)</f>
        <v>0.18940518336506446</v>
      </c>
      <c r="N8" s="7">
        <f>$B8 * IFERROR(VLOOKUP("transport|PM25|Asthma symptoms wheeze", US_national_yearly!$D:$AM, 22, FALSE) / VLOOKUP("transport|PM25|Asthma symptoms wheeze", US_national_yearly!$D:$AM, 10, FALSE), 1)</f>
        <v>0.18940518336506446</v>
      </c>
      <c r="O8" s="7">
        <f>$B8 * IFERROR(VLOOKUP("transport|PM25|Asthma symptoms wheeze", US_national_yearly!$D:$AM, 23, FALSE) / VLOOKUP("transport|PM25|Asthma symptoms wheeze", US_national_yearly!$D:$AM, 10, FALSE), 1)</f>
        <v>0.18940518336506446</v>
      </c>
      <c r="P8" s="7">
        <f>$B8 * IFERROR(VLOOKUP("transport|PM25|Asthma symptoms wheeze", US_national_yearly!$D:$AM, 24, FALSE) / VLOOKUP("transport|PM25|Asthma symptoms wheeze", US_national_yearly!$D:$AM, 10, FALSE), 1)</f>
        <v>0.18940518336506446</v>
      </c>
      <c r="Q8" s="7">
        <f>$B8 * IFERROR(VLOOKUP("transport|PM25|Asthma symptoms wheeze", US_national_yearly!$D:$AM, 25, FALSE) / VLOOKUP("transport|PM25|Asthma symptoms wheeze", US_national_yearly!$D:$AM, 10, FALSE), 1)</f>
        <v>0.18940518336506446</v>
      </c>
      <c r="R8" s="7">
        <f>$B8 * IFERROR(VLOOKUP("transport|PM25|Asthma symptoms wheeze", US_national_yearly!$D:$AM, 26, FALSE) / VLOOKUP("transport|PM25|Asthma symptoms wheeze", US_national_yearly!$D:$AM, 10, FALSE), 1)</f>
        <v>0.18940518336506446</v>
      </c>
      <c r="S8" s="7">
        <f>$B8 * IFERROR(VLOOKUP("transport|PM25|Asthma symptoms wheeze", US_national_yearly!$D:$AM, 27, FALSE) / VLOOKUP("transport|PM25|Asthma symptoms wheeze", US_national_yearly!$D:$AM, 10, FALSE), 1)</f>
        <v>0.18940518336506446</v>
      </c>
      <c r="T8" s="7">
        <f>$B8 * IFERROR(VLOOKUP("transport|PM25|Asthma symptoms wheeze", US_national_yearly!$D:$AM, 28, FALSE) / VLOOKUP("transport|PM25|Asthma symptoms wheeze", US_national_yearly!$D:$AM, 10, FALSE), 1)</f>
        <v>0.18940518336506446</v>
      </c>
      <c r="U8" s="7">
        <f>$B8 * IFERROR(VLOOKUP("transport|PM25|Asthma symptoms wheeze", US_national_yearly!$D:$AM, 29, FALSE) / VLOOKUP("transport|PM25|Asthma symptoms wheeze", US_national_yearly!$D:$AM, 10, FALSE), 1)</f>
        <v>0.18940518336506446</v>
      </c>
      <c r="V8" s="7">
        <f>$B8 * IFERROR(VLOOKUP("transport|PM25|Asthma symptoms wheeze", US_national_yearly!$D:$AM, 30, FALSE) / VLOOKUP("transport|PM25|Asthma symptoms wheeze", US_national_yearly!$D:$AM, 10, FALSE), 1)</f>
        <v>0.18940518336506446</v>
      </c>
      <c r="W8" s="7">
        <f>$B8 * IFERROR(VLOOKUP("transport|PM25|Asthma symptoms wheeze", US_national_yearly!$D:$AM, 31, FALSE) / VLOOKUP("transport|PM25|Asthma symptoms wheeze", US_national_yearly!$D:$AM, 10, FALSE), 1)</f>
        <v>0.18940518336506446</v>
      </c>
      <c r="X8" s="7">
        <f>$B8 * IFERROR(VLOOKUP("transport|PM25|Asthma symptoms wheeze", US_national_yearly!$D:$AM, 32, FALSE) / VLOOKUP("transport|PM25|Asthma symptoms wheeze", US_national_yearly!$D:$AM, 10, FALSE), 1)</f>
        <v>0.18940518336506446</v>
      </c>
      <c r="Y8" s="7">
        <f>$B8 * IFERROR(VLOOKUP("transport|PM25|Asthma symptoms wheeze", US_national_yearly!$D:$AM, 33, FALSE) / VLOOKUP("transport|PM25|Asthma symptoms wheeze", US_national_yearly!$D:$AM, 10, FALSE), 1)</f>
        <v>0.18940518336506446</v>
      </c>
      <c r="Z8" s="7">
        <f>$B8 * IFERROR(VLOOKUP("transport|PM25|Asthma symptoms wheeze", US_national_yearly!$D:$AM, 34, FALSE) / VLOOKUP("transport|PM25|Asthma symptoms wheeze", US_national_yearly!$D:$AM, 10, FALSE), 1)</f>
        <v>0.18940518336506446</v>
      </c>
      <c r="AA8" s="7">
        <f>$B8 * IFERROR(VLOOKUP("transport|PM25|Asthma symptoms wheeze", US_national_yearly!$D:$AM, 35, FALSE) / VLOOKUP("transport|PM25|Asthma symptoms wheeze", US_national_yearly!$D:$AM, 10, FALSE), 1)</f>
        <v>0.18940518336506446</v>
      </c>
      <c r="AB8" s="7">
        <f>$B8 * IFERROR(VLOOKUP("transport|PM25|Asthma symptoms wheeze", US_national_yearly!$D:$AM, 36, FALSE) / VLOOKUP("transport|PM25|Asthma symptoms wheeze", US_national_yearly!$D:$AM, 10, FALSE), 1)</f>
        <v>0.18940518336506446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2.9574716540040676E-3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2.9744226894953072E-3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2.9913737249865464E-3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3.0083247604777859E-3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3.0252757959690246E-3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3.0435836373506552E-3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3.0618914787322853E-3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3.0793839255932424E-3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3.0968763724542004E-3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3.114368819315158E-3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3.1318612661761164E-3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3.1493537130370735E-3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3.1619085526107763E-3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3.1744633921844782E-3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3.1870182317581797E-3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3.1995730713318821E-3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3.2121279109055849E-3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3.2240817725042192E-3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3.2360356341028544E-3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3.2479894957014891E-3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3.2599433573001239E-3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3.2718972188987582E-3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3.2833969862421379E-3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3.2948967535855159E-3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3.3063965209288951E-3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3.3178962882722731E-3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3.3293960556156519E-3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1.734005550771801E-2</v>
      </c>
      <c r="C13" s="7">
        <f>$B13 * IFERROR(VLOOKUP("transport|PM25|Non-fatal heart attacks", US_national_yearly!$D:$AM, 11, FALSE) / VLOOKUP("transport|PM25|Non-fatal heart attacks", US_national_yearly!$D:$AM, 10, FALSE), 1)</f>
        <v>1.784417693656825E-2</v>
      </c>
      <c r="D13" s="7">
        <f>$B13 * IFERROR(VLOOKUP("transport|PM25|Non-fatal heart attacks", US_national_yearly!$D:$AM, 12, FALSE) / VLOOKUP("transport|PM25|Non-fatal heart attacks", US_national_yearly!$D:$AM, 10, FALSE), 1)</f>
        <v>1.834829836541849E-2</v>
      </c>
      <c r="E13" s="7">
        <f>$B13 * IFERROR(VLOOKUP("transport|PM25|Non-fatal heart attacks", US_national_yearly!$D:$AM, 13, FALSE) / VLOOKUP("transport|PM25|Non-fatal heart attacks", US_national_yearly!$D:$AM, 10, FALSE), 1)</f>
        <v>1.8852419794268722E-2</v>
      </c>
      <c r="F13" s="7">
        <f>$B13 * IFERROR(VLOOKUP("transport|PM25|Non-fatal heart attacks", US_national_yearly!$D:$AM, 14, FALSE) / VLOOKUP("transport|PM25|Non-fatal heart attacks", US_national_yearly!$D:$AM, 10, FALSE), 1)</f>
        <v>1.9356541223118966E-2</v>
      </c>
      <c r="G13" s="7">
        <f>$B13 * IFERROR(VLOOKUP("transport|PM25|Non-fatal heart attacks", US_national_yearly!$D:$AM, 15, FALSE) / VLOOKUP("transport|PM25|Non-fatal heart attacks", US_national_yearly!$D:$AM, 10, FALSE), 1)</f>
        <v>1.9831959600463606E-2</v>
      </c>
      <c r="H13" s="7">
        <f>$B13 * IFERROR(VLOOKUP("transport|PM25|Non-fatal heart attacks", US_national_yearly!$D:$AM, 16, FALSE) / VLOOKUP("transport|PM25|Non-fatal heart attacks", US_national_yearly!$D:$AM, 10, FALSE), 1)</f>
        <v>2.0307377977808242E-2</v>
      </c>
      <c r="I13" s="7">
        <f>$B13 * IFERROR(VLOOKUP("transport|PM25|Non-fatal heart attacks", US_national_yearly!$D:$AM, 17, FALSE) / VLOOKUP("transport|PM25|Non-fatal heart attacks", US_national_yearly!$D:$AM, 10, FALSE), 1)</f>
        <v>2.0689456155348521E-2</v>
      </c>
      <c r="J13" s="7">
        <f>$B13 * IFERROR(VLOOKUP("transport|PM25|Non-fatal heart attacks", US_national_yearly!$D:$AM, 18, FALSE) / VLOOKUP("transport|PM25|Non-fatal heart attacks", US_national_yearly!$D:$AM, 10, FALSE), 1)</f>
        <v>2.1071534332888799E-2</v>
      </c>
      <c r="K13" s="7">
        <f>$B13 * IFERROR(VLOOKUP("transport|PM25|Non-fatal heart attacks", US_national_yearly!$D:$AM, 19, FALSE) / VLOOKUP("transport|PM25|Non-fatal heart attacks", US_national_yearly!$D:$AM, 10, FALSE), 1)</f>
        <v>2.1453612510429081E-2</v>
      </c>
      <c r="L13" s="7">
        <f>$B13 * IFERROR(VLOOKUP("transport|PM25|Non-fatal heart attacks", US_national_yearly!$D:$AM, 20, FALSE) / VLOOKUP("transport|PM25|Non-fatal heart attacks", US_national_yearly!$D:$AM, 10, FALSE), 1)</f>
        <v>2.1835690687969356E-2</v>
      </c>
      <c r="M13" s="7">
        <f>$B13 * IFERROR(VLOOKUP("transport|PM25|Non-fatal heart attacks", US_national_yearly!$D:$AM, 21, FALSE) / VLOOKUP("transport|PM25|Non-fatal heart attacks", US_national_yearly!$D:$AM, 10, FALSE), 1)</f>
        <v>2.2217768865509639E-2</v>
      </c>
      <c r="N13" s="7">
        <f>$B13 * IFERROR(VLOOKUP("transport|PM25|Non-fatal heart attacks", US_national_yearly!$D:$AM, 22, FALSE) / VLOOKUP("transport|PM25|Non-fatal heart attacks", US_national_yearly!$D:$AM, 10, FALSE), 1)</f>
        <v>2.2464171561530202E-2</v>
      </c>
      <c r="O13" s="7">
        <f>$B13 * IFERROR(VLOOKUP("transport|PM25|Non-fatal heart attacks", US_national_yearly!$D:$AM, 23, FALSE) / VLOOKUP("transport|PM25|Non-fatal heart attacks", US_national_yearly!$D:$AM, 10, FALSE), 1)</f>
        <v>2.2710574257550773E-2</v>
      </c>
      <c r="P13" s="7">
        <f>$B13 * IFERROR(VLOOKUP("transport|PM25|Non-fatal heart attacks", US_national_yearly!$D:$AM, 24, FALSE) / VLOOKUP("transport|PM25|Non-fatal heart attacks", US_national_yearly!$D:$AM, 10, FALSE), 1)</f>
        <v>2.295697695357134E-2</v>
      </c>
      <c r="Q13" s="7">
        <f>$B13 * IFERROR(VLOOKUP("transport|PM25|Non-fatal heart attacks", US_national_yearly!$D:$AM, 25, FALSE) / VLOOKUP("transport|PM25|Non-fatal heart attacks", US_national_yearly!$D:$AM, 10, FALSE), 1)</f>
        <v>2.3203379649591904E-2</v>
      </c>
      <c r="R13" s="7">
        <f>$B13 * IFERROR(VLOOKUP("transport|PM25|Non-fatal heart attacks", US_national_yearly!$D:$AM, 26, FALSE) / VLOOKUP("transport|PM25|Non-fatal heart attacks", US_national_yearly!$D:$AM, 10, FALSE), 1)</f>
        <v>2.3449782345612472E-2</v>
      </c>
      <c r="S13" s="7">
        <f>$B13 * IFERROR(VLOOKUP("transport|PM25|Non-fatal heart attacks", US_national_yearly!$D:$AM, 27, FALSE) / VLOOKUP("transport|PM25|Non-fatal heart attacks", US_national_yearly!$D:$AM, 10, FALSE), 1)</f>
        <v>2.3579545045008202E-2</v>
      </c>
      <c r="T13" s="7">
        <f>$B13 * IFERROR(VLOOKUP("transport|PM25|Non-fatal heart attacks", US_national_yearly!$D:$AM, 28, FALSE) / VLOOKUP("transport|PM25|Non-fatal heart attacks", US_national_yearly!$D:$AM, 10, FALSE), 1)</f>
        <v>2.370930774440394E-2</v>
      </c>
      <c r="U13" s="7">
        <f>$B13 * IFERROR(VLOOKUP("transport|PM25|Non-fatal heart attacks", US_national_yearly!$D:$AM, 29, FALSE) / VLOOKUP("transport|PM25|Non-fatal heart attacks", US_national_yearly!$D:$AM, 10, FALSE), 1)</f>
        <v>2.3839070443799678E-2</v>
      </c>
      <c r="V13" s="7">
        <f>$B13 * IFERROR(VLOOKUP("transport|PM25|Non-fatal heart attacks", US_national_yearly!$D:$AM, 30, FALSE) / VLOOKUP("transport|PM25|Non-fatal heart attacks", US_national_yearly!$D:$AM, 10, FALSE), 1)</f>
        <v>2.3968833143195409E-2</v>
      </c>
      <c r="W13" s="7">
        <f>$B13 * IFERROR(VLOOKUP("transport|PM25|Non-fatal heart attacks", US_national_yearly!$D:$AM, 31, FALSE) / VLOOKUP("transport|PM25|Non-fatal heart attacks", US_national_yearly!$D:$AM, 10, FALSE), 1)</f>
        <v>2.4098595842591143E-2</v>
      </c>
      <c r="X13" s="7">
        <f>$B13 * IFERROR(VLOOKUP("transport|PM25|Non-fatal heart attacks", US_national_yearly!$D:$AM, 32, FALSE) / VLOOKUP("transport|PM25|Non-fatal heart attacks", US_national_yearly!$D:$AM, 10, FALSE), 1)</f>
        <v>2.4197104494733213E-2</v>
      </c>
      <c r="Y13" s="7">
        <f>$B13 * IFERROR(VLOOKUP("transport|PM25|Non-fatal heart attacks", US_national_yearly!$D:$AM, 33, FALSE) / VLOOKUP("transport|PM25|Non-fatal heart attacks", US_national_yearly!$D:$AM, 10, FALSE), 1)</f>
        <v>2.429561314687529E-2</v>
      </c>
      <c r="Z13" s="7">
        <f>$B13 * IFERROR(VLOOKUP("transport|PM25|Non-fatal heart attacks", US_national_yearly!$D:$AM, 34, FALSE) / VLOOKUP("transport|PM25|Non-fatal heart attacks", US_national_yearly!$D:$AM, 10, FALSE), 1)</f>
        <v>2.439412179901736E-2</v>
      </c>
      <c r="AA13" s="7">
        <f>$B13 * IFERROR(VLOOKUP("transport|PM25|Non-fatal heart attacks", US_national_yearly!$D:$AM, 35, FALSE) / VLOOKUP("transport|PM25|Non-fatal heart attacks", US_national_yearly!$D:$AM, 10, FALSE), 1)</f>
        <v>2.4492630451159434E-2</v>
      </c>
      <c r="AB13" s="7">
        <f>$B13 * IFERROR(VLOOKUP("transport|PM25|Non-fatal heart attacks", US_national_yearly!$D:$AM, 36, FALSE) / VLOOKUP("transport|PM25|Non-fatal heart attacks", US_national_yearly!$D:$AM, 10, FALSE), 1)</f>
        <v>2.4591139103301508E-2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11.261571653898349</v>
      </c>
      <c r="C14" s="7">
        <f>$B14 * IFERROR(VLOOKUP("transport|PM25|Minor restricted activity days", US_national_yearly!$D:$AM, 11, FALSE) / VLOOKUP("transport|PM25|Minor restricted activity days", US_national_yearly!$D:$AM, 10, FALSE), 1)</f>
        <v>11.289073747396904</v>
      </c>
      <c r="D14" s="7">
        <f>$B14 * IFERROR(VLOOKUP("transport|PM25|Minor restricted activity days", US_national_yearly!$D:$AM, 12, FALSE) / VLOOKUP("transport|PM25|Minor restricted activity days", US_national_yearly!$D:$AM, 10, FALSE), 1)</f>
        <v>11.31657584089546</v>
      </c>
      <c r="E14" s="7">
        <f>$B14 * IFERROR(VLOOKUP("transport|PM25|Minor restricted activity days", US_national_yearly!$D:$AM, 13, FALSE) / VLOOKUP("transport|PM25|Minor restricted activity days", US_national_yearly!$D:$AM, 10, FALSE), 1)</f>
        <v>11.344077934394019</v>
      </c>
      <c r="F14" s="7">
        <f>$B14 * IFERROR(VLOOKUP("transport|PM25|Minor restricted activity days", US_national_yearly!$D:$AM, 14, FALSE) / VLOOKUP("transport|PM25|Minor restricted activity days", US_national_yearly!$D:$AM, 10, FALSE), 1)</f>
        <v>11.371580027892572</v>
      </c>
      <c r="G14" s="7">
        <f>$B14 * IFERROR(VLOOKUP("transport|PM25|Minor restricted activity days", US_national_yearly!$D:$AM, 15, FALSE) / VLOOKUP("transport|PM25|Minor restricted activity days", US_national_yearly!$D:$AM, 10, FALSE), 1)</f>
        <v>11.412158543783356</v>
      </c>
      <c r="H14" s="7">
        <f>$B14 * IFERROR(VLOOKUP("transport|PM25|Minor restricted activity days", US_national_yearly!$D:$AM, 16, FALSE) / VLOOKUP("transport|PM25|Minor restricted activity days", US_national_yearly!$D:$AM, 10, FALSE), 1)</f>
        <v>11.452737059674142</v>
      </c>
      <c r="I14" s="7">
        <f>$B14 * IFERROR(VLOOKUP("transport|PM25|Minor restricted activity days", US_national_yearly!$D:$AM, 17, FALSE) / VLOOKUP("transport|PM25|Minor restricted activity days", US_national_yearly!$D:$AM, 10, FALSE), 1)</f>
        <v>11.522107739761315</v>
      </c>
      <c r="J14" s="7">
        <f>$B14 * IFERROR(VLOOKUP("transport|PM25|Minor restricted activity days", US_national_yearly!$D:$AM, 18, FALSE) / VLOOKUP("transport|PM25|Minor restricted activity days", US_national_yearly!$D:$AM, 10, FALSE), 1)</f>
        <v>11.591478419848482</v>
      </c>
      <c r="K14" s="7">
        <f>$B14 * IFERROR(VLOOKUP("transport|PM25|Minor restricted activity days", US_national_yearly!$D:$AM, 19, FALSE) / VLOOKUP("transport|PM25|Minor restricted activity days", US_national_yearly!$D:$AM, 10, FALSE), 1)</f>
        <v>11.660849099935655</v>
      </c>
      <c r="L14" s="7">
        <f>$B14 * IFERROR(VLOOKUP("transport|PM25|Minor restricted activity days", US_national_yearly!$D:$AM, 20, FALSE) / VLOOKUP("transport|PM25|Minor restricted activity days", US_national_yearly!$D:$AM, 10, FALSE), 1)</f>
        <v>11.730219780022825</v>
      </c>
      <c r="M14" s="7">
        <f>$B14 * IFERROR(VLOOKUP("transport|PM25|Minor restricted activity days", US_national_yearly!$D:$AM, 21, FALSE) / VLOOKUP("transport|PM25|Minor restricted activity days", US_national_yearly!$D:$AM, 10, FALSE), 1)</f>
        <v>11.799590460109995</v>
      </c>
      <c r="N14" s="7">
        <f>$B14 * IFERROR(VLOOKUP("transport|PM25|Minor restricted activity days", US_national_yearly!$D:$AM, 22, FALSE) / VLOOKUP("transport|PM25|Minor restricted activity days", US_national_yearly!$D:$AM, 10, FALSE), 1)</f>
        <v>11.894087138066563</v>
      </c>
      <c r="O14" s="7">
        <f>$B14 * IFERROR(VLOOKUP("transport|PM25|Minor restricted activity days", US_national_yearly!$D:$AM, 23, FALSE) / VLOOKUP("transport|PM25|Minor restricted activity days", US_national_yearly!$D:$AM, 10, FALSE), 1)</f>
        <v>11.98858381602313</v>
      </c>
      <c r="P14" s="7">
        <f>$B14 * IFERROR(VLOOKUP("transport|PM25|Minor restricted activity days", US_national_yearly!$D:$AM, 24, FALSE) / VLOOKUP("transport|PM25|Minor restricted activity days", US_national_yearly!$D:$AM, 10, FALSE), 1)</f>
        <v>12.083080493979699</v>
      </c>
      <c r="Q14" s="7">
        <f>$B14 * IFERROR(VLOOKUP("transport|PM25|Minor restricted activity days", US_national_yearly!$D:$AM, 25, FALSE) / VLOOKUP("transport|PM25|Minor restricted activity days", US_national_yearly!$D:$AM, 10, FALSE), 1)</f>
        <v>12.177577171936264</v>
      </c>
      <c r="R14" s="7">
        <f>$B14 * IFERROR(VLOOKUP("transport|PM25|Minor restricted activity days", US_national_yearly!$D:$AM, 26, FALSE) / VLOOKUP("transport|PM25|Minor restricted activity days", US_national_yearly!$D:$AM, 10, FALSE), 1)</f>
        <v>12.272073849892831</v>
      </c>
      <c r="S14" s="7">
        <f>$B14 * IFERROR(VLOOKUP("transport|PM25|Minor restricted activity days", US_national_yearly!$D:$AM, 27, FALSE) / VLOOKUP("transport|PM25|Minor restricted activity days", US_national_yearly!$D:$AM, 10, FALSE), 1)</f>
        <v>12.367221295505871</v>
      </c>
      <c r="T14" s="7">
        <f>$B14 * IFERROR(VLOOKUP("transport|PM25|Minor restricted activity days", US_national_yearly!$D:$AM, 28, FALSE) / VLOOKUP("transport|PM25|Minor restricted activity days", US_national_yearly!$D:$AM, 10, FALSE), 1)</f>
        <v>12.46236874111891</v>
      </c>
      <c r="U14" s="7">
        <f>$B14 * IFERROR(VLOOKUP("transport|PM25|Minor restricted activity days", US_national_yearly!$D:$AM, 29, FALSE) / VLOOKUP("transport|PM25|Minor restricted activity days", US_national_yearly!$D:$AM, 10, FALSE), 1)</f>
        <v>12.55751618673195</v>
      </c>
      <c r="V14" s="7">
        <f>$B14 * IFERROR(VLOOKUP("transport|PM25|Minor restricted activity days", US_national_yearly!$D:$AM, 30, FALSE) / VLOOKUP("transport|PM25|Minor restricted activity days", US_national_yearly!$D:$AM, 10, FALSE), 1)</f>
        <v>12.652663632344991</v>
      </c>
      <c r="W14" s="7">
        <f>$B14 * IFERROR(VLOOKUP("transport|PM25|Minor restricted activity days", US_national_yearly!$D:$AM, 31, FALSE) / VLOOKUP("transport|PM25|Minor restricted activity days", US_national_yearly!$D:$AM, 10, FALSE), 1)</f>
        <v>12.74781107795803</v>
      </c>
      <c r="X14" s="7">
        <f>$B14 * IFERROR(VLOOKUP("transport|PM25|Minor restricted activity days", US_national_yearly!$D:$AM, 32, FALSE) / VLOOKUP("transport|PM25|Minor restricted activity days", US_national_yearly!$D:$AM, 10, FALSE), 1)</f>
        <v>12.830408632765296</v>
      </c>
      <c r="Y14" s="7">
        <f>$B14 * IFERROR(VLOOKUP("transport|PM25|Minor restricted activity days", US_national_yearly!$D:$AM, 33, FALSE) / VLOOKUP("transport|PM25|Minor restricted activity days", US_national_yearly!$D:$AM, 10, FALSE), 1)</f>
        <v>12.913006187572563</v>
      </c>
      <c r="Z14" s="7">
        <f>$B14 * IFERROR(VLOOKUP("transport|PM25|Minor restricted activity days", US_national_yearly!$D:$AM, 34, FALSE) / VLOOKUP("transport|PM25|Minor restricted activity days", US_national_yearly!$D:$AM, 10, FALSE), 1)</f>
        <v>12.995603742379828</v>
      </c>
      <c r="AA14" s="7">
        <f>$B14 * IFERROR(VLOOKUP("transport|PM25|Minor restricted activity days", US_national_yearly!$D:$AM, 35, FALSE) / VLOOKUP("transport|PM25|Minor restricted activity days", US_national_yearly!$D:$AM, 10, FALSE), 1)</f>
        <v>13.078201297187093</v>
      </c>
      <c r="AB14" s="7">
        <f>$B14 * IFERROR(VLOOKUP("transport|PM25|Minor restricted activity days", US_national_yearly!$D:$AM, 36, FALSE) / VLOOKUP("transport|PM25|Minor restricted activity days", US_national_yearly!$D:$AM, 10, FALSE), 1)</f>
        <v>13.160798851994358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1.903919976586699</v>
      </c>
      <c r="C15" s="7">
        <f>$B15 * IFERROR(VLOOKUP("transport|PM25|Work loss days", US_national_yearly!$D:$AM, 11, FALSE) / VLOOKUP("transport|PM25|Work loss days", US_national_yearly!$D:$AM, 10, FALSE), 1)</f>
        <v>1.9098214427777456</v>
      </c>
      <c r="D15" s="7">
        <f>$B15 * IFERROR(VLOOKUP("transport|PM25|Work loss days", US_national_yearly!$D:$AM, 12, FALSE) / VLOOKUP("transport|PM25|Work loss days", US_national_yearly!$D:$AM, 10, FALSE), 1)</f>
        <v>1.9157229089687926</v>
      </c>
      <c r="E15" s="7">
        <f>$B15 * IFERROR(VLOOKUP("transport|PM25|Work loss days", US_national_yearly!$D:$AM, 13, FALSE) / VLOOKUP("transport|PM25|Work loss days", US_national_yearly!$D:$AM, 10, FALSE), 1)</f>
        <v>1.9216243751598392</v>
      </c>
      <c r="F15" s="7">
        <f>$B15 * IFERROR(VLOOKUP("transport|PM25|Work loss days", US_national_yearly!$D:$AM, 14, FALSE) / VLOOKUP("transport|PM25|Work loss days", US_national_yearly!$D:$AM, 10, FALSE), 1)</f>
        <v>1.9275258413508858</v>
      </c>
      <c r="G15" s="7">
        <f>$B15 * IFERROR(VLOOKUP("transport|PM25|Work loss days", US_national_yearly!$D:$AM, 15, FALSE) / VLOOKUP("transport|PM25|Work loss days", US_national_yearly!$D:$AM, 10, FALSE), 1)</f>
        <v>1.9352630401055657</v>
      </c>
      <c r="H15" s="7">
        <f>$B15 * IFERROR(VLOOKUP("transport|PM25|Work loss days", US_national_yearly!$D:$AM, 16, FALSE) / VLOOKUP("transport|PM25|Work loss days", US_national_yearly!$D:$AM, 10, FALSE), 1)</f>
        <v>1.9430002388602461</v>
      </c>
      <c r="I15" s="7">
        <f>$B15 * IFERROR(VLOOKUP("transport|PM25|Work loss days", US_national_yearly!$D:$AM, 17, FALSE) / VLOOKUP("transport|PM25|Work loss days", US_national_yearly!$D:$AM, 10, FALSE), 1)</f>
        <v>1.9543941150016046</v>
      </c>
      <c r="J15" s="7">
        <f>$B15 * IFERROR(VLOOKUP("transport|PM25|Work loss days", US_national_yearly!$D:$AM, 18, FALSE) / VLOOKUP("transport|PM25|Work loss days", US_national_yearly!$D:$AM, 10, FALSE), 1)</f>
        <v>1.9657879911429632</v>
      </c>
      <c r="K15" s="7">
        <f>$B15 * IFERROR(VLOOKUP("transport|PM25|Work loss days", US_national_yearly!$D:$AM, 19, FALSE) / VLOOKUP("transport|PM25|Work loss days", US_national_yearly!$D:$AM, 10, FALSE), 1)</f>
        <v>1.9771818672843218</v>
      </c>
      <c r="L15" s="7">
        <f>$B15 * IFERROR(VLOOKUP("transport|PM25|Work loss days", US_national_yearly!$D:$AM, 20, FALSE) / VLOOKUP("transport|PM25|Work loss days", US_national_yearly!$D:$AM, 10, FALSE), 1)</f>
        <v>1.9885757434256803</v>
      </c>
      <c r="M15" s="7">
        <f>$B15 * IFERROR(VLOOKUP("transport|PM25|Work loss days", US_national_yearly!$D:$AM, 21, FALSE) / VLOOKUP("transport|PM25|Work loss days", US_national_yearly!$D:$AM, 10, FALSE), 1)</f>
        <v>1.9999696195670389</v>
      </c>
      <c r="N15" s="7">
        <f>$B15 * IFERROR(VLOOKUP("transport|PM25|Work loss days", US_national_yearly!$D:$AM, 22, FALSE) / VLOOKUP("transport|PM25|Work loss days", US_national_yearly!$D:$AM, 10, FALSE), 1)</f>
        <v>2.0143096750797636</v>
      </c>
      <c r="O15" s="7">
        <f>$B15 * IFERROR(VLOOKUP("transport|PM25|Work loss days", US_national_yearly!$D:$AM, 23, FALSE) / VLOOKUP("transport|PM25|Work loss days", US_national_yearly!$D:$AM, 10, FALSE), 1)</f>
        <v>2.028649730592488</v>
      </c>
      <c r="P15" s="7">
        <f>$B15 * IFERROR(VLOOKUP("transport|PM25|Work loss days", US_national_yearly!$D:$AM, 24, FALSE) / VLOOKUP("transport|PM25|Work loss days", US_national_yearly!$D:$AM, 10, FALSE), 1)</f>
        <v>2.0429897861052124</v>
      </c>
      <c r="Q15" s="7">
        <f>$B15 * IFERROR(VLOOKUP("transport|PM25|Work loss days", US_national_yearly!$D:$AM, 25, FALSE) / VLOOKUP("transport|PM25|Work loss days", US_national_yearly!$D:$AM, 10, FALSE), 1)</f>
        <v>2.0573298416179364</v>
      </c>
      <c r="R15" s="7">
        <f>$B15 * IFERROR(VLOOKUP("transport|PM25|Work loss days", US_national_yearly!$D:$AM, 26, FALSE) / VLOOKUP("transport|PM25|Work loss days", US_national_yearly!$D:$AM, 10, FALSE), 1)</f>
        <v>2.0716698971306613</v>
      </c>
      <c r="S15" s="7">
        <f>$B15 * IFERROR(VLOOKUP("transport|PM25|Work loss days", US_national_yearly!$D:$AM, 27, FALSE) / VLOOKUP("transport|PM25|Work loss days", US_national_yearly!$D:$AM, 10, FALSE), 1)</f>
        <v>2.087530610754222</v>
      </c>
      <c r="T15" s="7">
        <f>$B15 * IFERROR(VLOOKUP("transport|PM25|Work loss days", US_national_yearly!$D:$AM, 28, FALSE) / VLOOKUP("transport|PM25|Work loss days", US_national_yearly!$D:$AM, 10, FALSE), 1)</f>
        <v>2.1033913243777826</v>
      </c>
      <c r="U15" s="7">
        <f>$B15 * IFERROR(VLOOKUP("transport|PM25|Work loss days", US_national_yearly!$D:$AM, 29, FALSE) / VLOOKUP("transport|PM25|Work loss days", US_national_yearly!$D:$AM, 10, FALSE), 1)</f>
        <v>2.1192520380013429</v>
      </c>
      <c r="V15" s="7">
        <f>$B15 * IFERROR(VLOOKUP("transport|PM25|Work loss days", US_national_yearly!$D:$AM, 30, FALSE) / VLOOKUP("transport|PM25|Work loss days", US_national_yearly!$D:$AM, 10, FALSE), 1)</f>
        <v>2.135112751624904</v>
      </c>
      <c r="W15" s="7">
        <f>$B15 * IFERROR(VLOOKUP("transport|PM25|Work loss days", US_national_yearly!$D:$AM, 31, FALSE) / VLOOKUP("transport|PM25|Work loss days", US_national_yearly!$D:$AM, 10, FALSE), 1)</f>
        <v>2.1509734652484647</v>
      </c>
      <c r="X15" s="7">
        <f>$B15 * IFERROR(VLOOKUP("transport|PM25|Work loss days", US_national_yearly!$D:$AM, 32, FALSE) / VLOOKUP("transport|PM25|Work loss days", US_national_yearly!$D:$AM, 10, FALSE), 1)</f>
        <v>2.1650461959244809</v>
      </c>
      <c r="Y15" s="7">
        <f>$B15 * IFERROR(VLOOKUP("transport|PM25|Work loss days", US_national_yearly!$D:$AM, 33, FALSE) / VLOOKUP("transport|PM25|Work loss days", US_national_yearly!$D:$AM, 10, FALSE), 1)</f>
        <v>2.1791189266004971</v>
      </c>
      <c r="Z15" s="7">
        <f>$B15 * IFERROR(VLOOKUP("transport|PM25|Work loss days", US_national_yearly!$D:$AM, 34, FALSE) / VLOOKUP("transport|PM25|Work loss days", US_national_yearly!$D:$AM, 10, FALSE), 1)</f>
        <v>2.1931916572765138</v>
      </c>
      <c r="AA15" s="7">
        <f>$B15 * IFERROR(VLOOKUP("transport|PM25|Work loss days", US_national_yearly!$D:$AM, 35, FALSE) / VLOOKUP("transport|PM25|Work loss days", US_national_yearly!$D:$AM, 10, FALSE), 1)</f>
        <v>2.2072643879525304</v>
      </c>
      <c r="AB15" s="7">
        <f>$B15 * IFERROR(VLOOKUP("transport|PM25|Work loss days", US_national_yearly!$D:$AM, 36, FALSE) / VLOOKUP("transport|PM25|Work loss days", US_national_yearly!$D:$AM, 10, FALSE), 1)</f>
        <v>2.2213371186285467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4.360254710240625E-3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4.4905421614617217E-3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4.6208296126828193E-3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4.751117063903916E-3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4.8814045151250136E-3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5.0061966205707806E-3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5.1309887260165494E-3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5.2377177859550088E-3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5.3444468458934673E-3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5.4511759058319259E-3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5.5579049657703862E-3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5.6646340257088448E-3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5.7357927267365381E-3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5.8069514277642315E-3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5.8781101287919239E-3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5.9492688298196173E-3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6.0204275308473098E-3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6.0580771271433386E-3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6.0957267234393658E-3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6.1333763197353921E-3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6.1710259160314192E-3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6.2086755123274464E-3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6.2340217157955966E-3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6.2593679192637476E-3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6.2847141227318978E-3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6.310060326200048E-3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6.3354065296681982E-3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1.5898035326531064E-3</v>
      </c>
      <c r="C2" s="7">
        <f>$B2 * IFERROR(VLOOKUP("transport|NOx|Premature mortality", US_national_yearly!$D:$AM, 11, FALSE) / VLOOKUP("transport|NOx|Premature mortality", US_national_yearly!$D:$AM, 10, FALSE), 1)</f>
        <v>1.6131550593771564E-3</v>
      </c>
      <c r="D2" s="7">
        <f>$B2 * IFERROR(VLOOKUP("transport|NOx|Premature mortality", US_national_yearly!$D:$AM, 12, FALSE) / VLOOKUP("transport|NOx|Premature mortality", US_national_yearly!$D:$AM, 10, FALSE), 1)</f>
        <v>1.636506586101206E-3</v>
      </c>
      <c r="E2" s="7">
        <f>$B2 * IFERROR(VLOOKUP("transport|NOx|Premature mortality", US_national_yearly!$D:$AM, 13, FALSE) / VLOOKUP("transport|NOx|Premature mortality", US_national_yearly!$D:$AM, 10, FALSE), 1)</f>
        <v>1.6598581128252558E-3</v>
      </c>
      <c r="F2" s="7">
        <f>$B2 * IFERROR(VLOOKUP("transport|NOx|Premature mortality", US_national_yearly!$D:$AM, 14, FALSE) / VLOOKUP("transport|NOx|Premature mortality", US_national_yearly!$D:$AM, 10, FALSE), 1)</f>
        <v>1.6832096395493058E-3</v>
      </c>
      <c r="G2" s="7">
        <f>$B2 * IFERROR(VLOOKUP("transport|NOx|Premature mortality", US_national_yearly!$D:$AM, 15, FALSE) / VLOOKUP("transport|NOx|Premature mortality", US_national_yearly!$D:$AM, 10, FALSE), 1)</f>
        <v>1.7251545024118248E-3</v>
      </c>
      <c r="H2" s="7">
        <f>$B2 * IFERROR(VLOOKUP("transport|NOx|Premature mortality", US_national_yearly!$D:$AM, 16, FALSE) / VLOOKUP("transport|NOx|Premature mortality", US_national_yearly!$D:$AM, 10, FALSE), 1)</f>
        <v>1.7670993652743445E-3</v>
      </c>
      <c r="I2" s="7">
        <f>$B2 * IFERROR(VLOOKUP("transport|NOx|Premature mortality", US_national_yearly!$D:$AM, 17, FALSE) / VLOOKUP("transport|NOx|Premature mortality", US_national_yearly!$D:$AM, 10, FALSE), 1)</f>
        <v>1.7941755698888942E-3</v>
      </c>
      <c r="J2" s="7">
        <f>$B2 * IFERROR(VLOOKUP("transport|NOx|Premature mortality", US_national_yearly!$D:$AM, 18, FALSE) / VLOOKUP("transport|NOx|Premature mortality", US_national_yearly!$D:$AM, 10, FALSE), 1)</f>
        <v>1.8212517745034443E-3</v>
      </c>
      <c r="K2" s="7">
        <f>$B2 * IFERROR(VLOOKUP("transport|NOx|Premature mortality", US_national_yearly!$D:$AM, 19, FALSE) / VLOOKUP("transport|NOx|Premature mortality", US_national_yearly!$D:$AM, 10, FALSE), 1)</f>
        <v>1.848327979117994E-3</v>
      </c>
      <c r="L2" s="7">
        <f>$B2 * IFERROR(VLOOKUP("transport|NOx|Premature mortality", US_national_yearly!$D:$AM, 20, FALSE) / VLOOKUP("transport|NOx|Premature mortality", US_national_yearly!$D:$AM, 10, FALSE), 1)</f>
        <v>1.8754041837325435E-3</v>
      </c>
      <c r="M2" s="7">
        <f>$B2 * IFERROR(VLOOKUP("transport|NOx|Premature mortality", US_national_yearly!$D:$AM, 21, FALSE) / VLOOKUP("transport|NOx|Premature mortality", US_national_yearly!$D:$AM, 10, FALSE), 1)</f>
        <v>1.9024803883470936E-3</v>
      </c>
      <c r="N2" s="7">
        <f>$B2 * IFERROR(VLOOKUP("transport|NOx|Premature mortality", US_national_yearly!$D:$AM, 22, FALSE) / VLOOKUP("transport|NOx|Premature mortality", US_national_yearly!$D:$AM, 10, FALSE), 1)</f>
        <v>1.9225383354656235E-3</v>
      </c>
      <c r="O2" s="7">
        <f>$B2 * IFERROR(VLOOKUP("transport|NOx|Premature mortality", US_national_yearly!$D:$AM, 23, FALSE) / VLOOKUP("transport|NOx|Premature mortality", US_national_yearly!$D:$AM, 10, FALSE), 1)</f>
        <v>1.9425962825841531E-3</v>
      </c>
      <c r="P2" s="7">
        <f>$B2 * IFERROR(VLOOKUP("transport|NOx|Premature mortality", US_national_yearly!$D:$AM, 24, FALSE) / VLOOKUP("transport|NOx|Premature mortality", US_national_yearly!$D:$AM, 10, FALSE), 1)</f>
        <v>1.962654229702683E-3</v>
      </c>
      <c r="Q2" s="7">
        <f>$B2 * IFERROR(VLOOKUP("transport|NOx|Premature mortality", US_national_yearly!$D:$AM, 25, FALSE) / VLOOKUP("transport|NOx|Premature mortality", US_national_yearly!$D:$AM, 10, FALSE), 1)</f>
        <v>1.9827121768212132E-3</v>
      </c>
      <c r="R2" s="7">
        <f>$B2 * IFERROR(VLOOKUP("transport|NOx|Premature mortality", US_national_yearly!$D:$AM, 26, FALSE) / VLOOKUP("transport|NOx|Premature mortality", US_national_yearly!$D:$AM, 10, FALSE), 1)</f>
        <v>2.0027701239397431E-3</v>
      </c>
      <c r="S2" s="7">
        <f>$B2 * IFERROR(VLOOKUP("transport|NOx|Premature mortality", US_national_yearly!$D:$AM, 27, FALSE) / VLOOKUP("transport|NOx|Premature mortality", US_national_yearly!$D:$AM, 10, FALSE), 1)</f>
        <v>2.011886662885958E-3</v>
      </c>
      <c r="T2" s="7">
        <f>$B2 * IFERROR(VLOOKUP("transport|NOx|Premature mortality", US_national_yearly!$D:$AM, 28, FALSE) / VLOOKUP("transport|NOx|Premature mortality", US_national_yearly!$D:$AM, 10, FALSE), 1)</f>
        <v>2.0210032018321738E-3</v>
      </c>
      <c r="U2" s="7">
        <f>$B2 * IFERROR(VLOOKUP("transport|NOx|Premature mortality", US_national_yearly!$D:$AM, 29, FALSE) / VLOOKUP("transport|NOx|Premature mortality", US_national_yearly!$D:$AM, 10, FALSE), 1)</f>
        <v>2.0301197407783887E-3</v>
      </c>
      <c r="V2" s="7">
        <f>$B2 * IFERROR(VLOOKUP("transport|NOx|Premature mortality", US_national_yearly!$D:$AM, 30, FALSE) / VLOOKUP("transport|NOx|Premature mortality", US_national_yearly!$D:$AM, 10, FALSE), 1)</f>
        <v>2.039236279724604E-3</v>
      </c>
      <c r="W2" s="7">
        <f>$B2 * IFERROR(VLOOKUP("transport|NOx|Premature mortality", US_national_yearly!$D:$AM, 31, FALSE) / VLOOKUP("transport|NOx|Premature mortality", US_national_yearly!$D:$AM, 10, FALSE), 1)</f>
        <v>2.0483528186708193E-3</v>
      </c>
      <c r="X2" s="7">
        <f>$B2 * IFERROR(VLOOKUP("transport|NOx|Premature mortality", US_national_yearly!$D:$AM, 32, FALSE) / VLOOKUP("transport|NOx|Premature mortality", US_national_yearly!$D:$AM, 10, FALSE), 1)</f>
        <v>2.0486686103469809E-3</v>
      </c>
      <c r="Y2" s="7">
        <f>$B2 * IFERROR(VLOOKUP("transport|NOx|Premature mortality", US_national_yearly!$D:$AM, 33, FALSE) / VLOOKUP("transport|NOx|Premature mortality", US_national_yearly!$D:$AM, 10, FALSE), 1)</f>
        <v>2.0489844020231429E-3</v>
      </c>
      <c r="Z2" s="7">
        <f>$B2 * IFERROR(VLOOKUP("transport|NOx|Premature mortality", US_national_yearly!$D:$AM, 34, FALSE) / VLOOKUP("transport|NOx|Premature mortality", US_national_yearly!$D:$AM, 10, FALSE), 1)</f>
        <v>2.049300193699304E-3</v>
      </c>
      <c r="AA2" s="7">
        <f>$B2 * IFERROR(VLOOKUP("transport|NOx|Premature mortality", US_national_yearly!$D:$AM, 35, FALSE) / VLOOKUP("transport|NOx|Premature mortality", US_national_yearly!$D:$AM, 10, FALSE), 1)</f>
        <v>2.049615985375466E-3</v>
      </c>
      <c r="AB2" s="7">
        <f>$B2 * IFERROR(VLOOKUP("transport|NOx|Premature mortality", US_national_yearly!$D:$AM, 36, FALSE) / VLOOKUP("transport|NOx|Premature mortality", US_national_yearly!$D:$AM, 10, FALSE), 1)</f>
        <v>2.049931777051628E-3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4.1106133117054046E-6</v>
      </c>
      <c r="C3" s="7">
        <f>$B3 * IFERROR(VLOOKUP("transport|NOx|Infant mortality", US_national_yearly!$D:$AM, 11, FALSE) / VLOOKUP("transport|NOx|Infant mortality", US_national_yearly!$D:$AM, 10, FALSE), 1)</f>
        <v>4.0714492454007054E-6</v>
      </c>
      <c r="D3" s="7">
        <f>$B3 * IFERROR(VLOOKUP("transport|NOx|Infant mortality", US_national_yearly!$D:$AM, 12, FALSE) / VLOOKUP("transport|NOx|Infant mortality", US_national_yearly!$D:$AM, 10, FALSE), 1)</f>
        <v>4.0322851790960053E-6</v>
      </c>
      <c r="E3" s="7">
        <f>$B3 * IFERROR(VLOOKUP("transport|NOx|Infant mortality", US_national_yearly!$D:$AM, 13, FALSE) / VLOOKUP("transport|NOx|Infant mortality", US_national_yearly!$D:$AM, 10, FALSE), 1)</f>
        <v>3.9931211127913061E-6</v>
      </c>
      <c r="F3" s="7">
        <f>$B3 * IFERROR(VLOOKUP("transport|NOx|Infant mortality", US_national_yearly!$D:$AM, 14, FALSE) / VLOOKUP("transport|NOx|Infant mortality", US_national_yearly!$D:$AM, 10, FALSE), 1)</f>
        <v>3.9539570464866069E-6</v>
      </c>
      <c r="G3" s="7">
        <f>$B3 * IFERROR(VLOOKUP("transport|NOx|Infant mortality", US_national_yearly!$D:$AM, 15, FALSE) / VLOOKUP("transport|NOx|Infant mortality", US_national_yearly!$D:$AM, 10, FALSE), 1)</f>
        <v>2.6248319377420978E-6</v>
      </c>
      <c r="H3" s="7">
        <f>$B3 * IFERROR(VLOOKUP("transport|NOx|Infant mortality", US_national_yearly!$D:$AM, 16, FALSE) / VLOOKUP("transport|NOx|Infant mortality", US_national_yearly!$D:$AM, 10, FALSE), 1)</f>
        <v>1.2957068289975883E-6</v>
      </c>
      <c r="I3" s="7">
        <f>$B3 * IFERROR(VLOOKUP("transport|NOx|Infant mortality", US_national_yearly!$D:$AM, 17, FALSE) / VLOOKUP("transport|NOx|Infant mortality", US_national_yearly!$D:$AM, 10, FALSE), 1)</f>
        <v>1.2865449445706538E-6</v>
      </c>
      <c r="J3" s="7">
        <f>$B3 * IFERROR(VLOOKUP("transport|NOx|Infant mortality", US_national_yearly!$D:$AM, 18, FALSE) / VLOOKUP("transport|NOx|Infant mortality", US_national_yearly!$D:$AM, 10, FALSE), 1)</f>
        <v>1.277383060143719E-6</v>
      </c>
      <c r="K3" s="7">
        <f>$B3 * IFERROR(VLOOKUP("transport|NOx|Infant mortality", US_national_yearly!$D:$AM, 19, FALSE) / VLOOKUP("transport|NOx|Infant mortality", US_national_yearly!$D:$AM, 10, FALSE), 1)</f>
        <v>1.2682211757167843E-6</v>
      </c>
      <c r="L3" s="7">
        <f>$B3 * IFERROR(VLOOKUP("transport|NOx|Infant mortality", US_national_yearly!$D:$AM, 20, FALSE) / VLOOKUP("transport|NOx|Infant mortality", US_national_yearly!$D:$AM, 10, FALSE), 1)</f>
        <v>1.2590592912898498E-6</v>
      </c>
      <c r="M3" s="7">
        <f>$B3 * IFERROR(VLOOKUP("transport|NOx|Infant mortality", US_national_yearly!$D:$AM, 21, FALSE) / VLOOKUP("transport|NOx|Infant mortality", US_national_yearly!$D:$AM, 10, FALSE), 1)</f>
        <v>1.249897406862915E-6</v>
      </c>
      <c r="N3" s="7">
        <f>$B3 * IFERROR(VLOOKUP("transport|NOx|Infant mortality", US_national_yearly!$D:$AM, 22, FALSE) / VLOOKUP("transport|NOx|Infant mortality", US_national_yearly!$D:$AM, 10, FALSE), 1)</f>
        <v>1.2438161310614675E-6</v>
      </c>
      <c r="O3" s="7">
        <f>$B3 * IFERROR(VLOOKUP("transport|NOx|Infant mortality", US_national_yearly!$D:$AM, 23, FALSE) / VLOOKUP("transport|NOx|Infant mortality", US_national_yearly!$D:$AM, 10, FALSE), 1)</f>
        <v>1.23773485526002E-6</v>
      </c>
      <c r="P3" s="7">
        <f>$B3 * IFERROR(VLOOKUP("transport|NOx|Infant mortality", US_national_yearly!$D:$AM, 24, FALSE) / VLOOKUP("transport|NOx|Infant mortality", US_national_yearly!$D:$AM, 10, FALSE), 1)</f>
        <v>1.2316535794585725E-6</v>
      </c>
      <c r="Q3" s="7">
        <f>$B3 * IFERROR(VLOOKUP("transport|NOx|Infant mortality", US_national_yearly!$D:$AM, 25, FALSE) / VLOOKUP("transport|NOx|Infant mortality", US_national_yearly!$D:$AM, 10, FALSE), 1)</f>
        <v>1.225572303657125E-6</v>
      </c>
      <c r="R3" s="7">
        <f>$B3 * IFERROR(VLOOKUP("transport|NOx|Infant mortality", US_national_yearly!$D:$AM, 26, FALSE) / VLOOKUP("transport|NOx|Infant mortality", US_national_yearly!$D:$AM, 10, FALSE), 1)</f>
        <v>1.2194910278556776E-6</v>
      </c>
      <c r="S3" s="7">
        <f>$B3 * IFERROR(VLOOKUP("transport|NOx|Infant mortality", US_national_yearly!$D:$AM, 27, FALSE) / VLOOKUP("transport|NOx|Infant mortality", US_national_yearly!$D:$AM, 10, FALSE), 1)</f>
        <v>1.2121803672745944E-6</v>
      </c>
      <c r="T3" s="7">
        <f>$B3 * IFERROR(VLOOKUP("transport|NOx|Infant mortality", US_national_yearly!$D:$AM, 28, FALSE) / VLOOKUP("transport|NOx|Infant mortality", US_national_yearly!$D:$AM, 10, FALSE), 1)</f>
        <v>1.2048697066935111E-6</v>
      </c>
      <c r="U3" s="7">
        <f>$B3 * IFERROR(VLOOKUP("transport|NOx|Infant mortality", US_national_yearly!$D:$AM, 29, FALSE) / VLOOKUP("transport|NOx|Infant mortality", US_national_yearly!$D:$AM, 10, FALSE), 1)</f>
        <v>1.1975590461124278E-6</v>
      </c>
      <c r="V3" s="7">
        <f>$B3 * IFERROR(VLOOKUP("transport|NOx|Infant mortality", US_national_yearly!$D:$AM, 30, FALSE) / VLOOKUP("transport|NOx|Infant mortality", US_national_yearly!$D:$AM, 10, FALSE), 1)</f>
        <v>1.1902483855313445E-6</v>
      </c>
      <c r="W3" s="7">
        <f>$B3 * IFERROR(VLOOKUP("transport|NOx|Infant mortality", US_national_yearly!$D:$AM, 31, FALSE) / VLOOKUP("transport|NOx|Infant mortality", US_national_yearly!$D:$AM, 10, FALSE), 1)</f>
        <v>1.1829377249502613E-6</v>
      </c>
      <c r="X3" s="7">
        <f>$B3 * IFERROR(VLOOKUP("transport|NOx|Infant mortality", US_national_yearly!$D:$AM, 32, FALSE) / VLOOKUP("transport|NOx|Infant mortality", US_national_yearly!$D:$AM, 10, FALSE), 1)</f>
        <v>1.1751953818657776E-6</v>
      </c>
      <c r="Y3" s="7">
        <f>$B3 * IFERROR(VLOOKUP("transport|NOx|Infant mortality", US_national_yearly!$D:$AM, 33, FALSE) / VLOOKUP("transport|NOx|Infant mortality", US_national_yearly!$D:$AM, 10, FALSE), 1)</f>
        <v>1.1674530387812936E-6</v>
      </c>
      <c r="Z3" s="7">
        <f>$B3 * IFERROR(VLOOKUP("transport|NOx|Infant mortality", US_national_yearly!$D:$AM, 34, FALSE) / VLOOKUP("transport|NOx|Infant mortality", US_national_yearly!$D:$AM, 10, FALSE), 1)</f>
        <v>1.1597106956968098E-6</v>
      </c>
      <c r="AA3" s="7">
        <f>$B3 * IFERROR(VLOOKUP("transport|NOx|Infant mortality", US_national_yearly!$D:$AM, 35, FALSE) / VLOOKUP("transport|NOx|Infant mortality", US_national_yearly!$D:$AM, 10, FALSE), 1)</f>
        <v>1.151968352612326E-6</v>
      </c>
      <c r="AB3" s="7">
        <f>$B3 * IFERROR(VLOOKUP("transport|NOx|Infant mortality", US_national_yearly!$D:$AM, 36, FALSE) / VLOOKUP("transport|NOx|Infant mortality", US_national_yearly!$D:$AM, 10, FALSE), 1)</f>
        <v>1.1442260095278419E-6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3.461927185526255E-3</v>
      </c>
      <c r="C6" s="7">
        <f>$B6 * IFERROR(VLOOKUP("transport|NOx|Asthma symptoms cough", US_national_yearly!$D:$AM, 11, FALSE) / VLOOKUP("transport|NOx|Asthma symptoms cough", US_national_yearly!$D:$AM, 10, FALSE), 1)</f>
        <v>3.5092573901792973E-3</v>
      </c>
      <c r="D6" s="7">
        <f>$B6 * IFERROR(VLOOKUP("transport|NOx|Asthma symptoms cough", US_national_yearly!$D:$AM, 12, FALSE) / VLOOKUP("transport|NOx|Asthma symptoms cough", US_national_yearly!$D:$AM, 10, FALSE), 1)</f>
        <v>3.5565875948323391E-3</v>
      </c>
      <c r="E6" s="7">
        <f>$B6 * IFERROR(VLOOKUP("transport|NOx|Asthma symptoms cough", US_national_yearly!$D:$AM, 13, FALSE) / VLOOKUP("transport|NOx|Asthma symptoms cough", US_national_yearly!$D:$AM, 10, FALSE), 1)</f>
        <v>3.6039177994853814E-3</v>
      </c>
      <c r="F6" s="7">
        <f>$B6 * IFERROR(VLOOKUP("transport|NOx|Asthma symptoms cough", US_national_yearly!$D:$AM, 14, FALSE) / VLOOKUP("transport|NOx|Asthma symptoms cough", US_national_yearly!$D:$AM, 10, FALSE), 1)</f>
        <v>3.6512480041384233E-3</v>
      </c>
      <c r="G6" s="7">
        <f>$B6 * IFERROR(VLOOKUP("transport|NOx|Asthma symptoms cough", US_national_yearly!$D:$AM, 15, FALSE) / VLOOKUP("transport|NOx|Asthma symptoms cough", US_national_yearly!$D:$AM, 10, FALSE), 1)</f>
        <v>3.689034558604613E-3</v>
      </c>
      <c r="H6" s="7">
        <f>$B6 * IFERROR(VLOOKUP("transport|NOx|Asthma symptoms cough", US_national_yearly!$D:$AM, 16, FALSE) / VLOOKUP("transport|NOx|Asthma symptoms cough", US_national_yearly!$D:$AM, 10, FALSE), 1)</f>
        <v>3.7268211130708031E-3</v>
      </c>
      <c r="I6" s="7">
        <f>$B6 * IFERROR(VLOOKUP("transport|NOx|Asthma symptoms cough", US_national_yearly!$D:$AM, 17, FALSE) / VLOOKUP("transport|NOx|Asthma symptoms cough", US_national_yearly!$D:$AM, 10, FALSE), 1)</f>
        <v>3.7398267049308801E-3</v>
      </c>
      <c r="J6" s="7">
        <f>$B6 * IFERROR(VLOOKUP("transport|NOx|Asthma symptoms cough", US_national_yearly!$D:$AM, 18, FALSE) / VLOOKUP("transport|NOx|Asthma symptoms cough", US_national_yearly!$D:$AM, 10, FALSE), 1)</f>
        <v>3.7528322967909575E-3</v>
      </c>
      <c r="K6" s="7">
        <f>$B6 * IFERROR(VLOOKUP("transport|NOx|Asthma symptoms cough", US_national_yearly!$D:$AM, 19, FALSE) / VLOOKUP("transport|NOx|Asthma symptoms cough", US_national_yearly!$D:$AM, 10, FALSE), 1)</f>
        <v>3.7658378886510344E-3</v>
      </c>
      <c r="L6" s="7">
        <f>$B6 * IFERROR(VLOOKUP("transport|NOx|Asthma symptoms cough", US_national_yearly!$D:$AM, 20, FALSE) / VLOOKUP("transport|NOx|Asthma symptoms cough", US_national_yearly!$D:$AM, 10, FALSE), 1)</f>
        <v>3.7788434805111114E-3</v>
      </c>
      <c r="M6" s="7">
        <f>$B6 * IFERROR(VLOOKUP("transport|NOx|Asthma symptoms cough", US_national_yearly!$D:$AM, 21, FALSE) / VLOOKUP("transport|NOx|Asthma symptoms cough", US_national_yearly!$D:$AM, 10, FALSE), 1)</f>
        <v>3.7918490723711888E-3</v>
      </c>
      <c r="N6" s="7">
        <f>$B6 * IFERROR(VLOOKUP("transport|NOx|Asthma symptoms cough", US_national_yearly!$D:$AM, 22, FALSE) / VLOOKUP("transport|NOx|Asthma symptoms cough", US_national_yearly!$D:$AM, 10, FALSE), 1)</f>
        <v>3.8069300246238637E-3</v>
      </c>
      <c r="O6" s="7">
        <f>$B6 * IFERROR(VLOOKUP("transport|NOx|Asthma symptoms cough", US_national_yearly!$D:$AM, 23, FALSE) / VLOOKUP("transport|NOx|Asthma symptoms cough", US_national_yearly!$D:$AM, 10, FALSE), 1)</f>
        <v>3.8220109768765387E-3</v>
      </c>
      <c r="P6" s="7">
        <f>$B6 * IFERROR(VLOOKUP("transport|NOx|Asthma symptoms cough", US_national_yearly!$D:$AM, 24, FALSE) / VLOOKUP("transport|NOx|Asthma symptoms cough", US_national_yearly!$D:$AM, 10, FALSE), 1)</f>
        <v>3.8370919291292136E-3</v>
      </c>
      <c r="Q6" s="7">
        <f>$B6 * IFERROR(VLOOKUP("transport|NOx|Asthma symptoms cough", US_national_yearly!$D:$AM, 25, FALSE) / VLOOKUP("transport|NOx|Asthma symptoms cough", US_national_yearly!$D:$AM, 10, FALSE), 1)</f>
        <v>3.8521728813818894E-3</v>
      </c>
      <c r="R6" s="7">
        <f>$B6 * IFERROR(VLOOKUP("transport|NOx|Asthma symptoms cough", US_national_yearly!$D:$AM, 26, FALSE) / VLOOKUP("transport|NOx|Asthma symptoms cough", US_national_yearly!$D:$AM, 10, FALSE), 1)</f>
        <v>3.8672538336345643E-3</v>
      </c>
      <c r="S6" s="7">
        <f>$B6 * IFERROR(VLOOKUP("transport|NOx|Asthma symptoms cough", US_national_yearly!$D:$AM, 27, FALSE) / VLOOKUP("transport|NOx|Asthma symptoms cough", US_national_yearly!$D:$AM, 10, FALSE), 1)</f>
        <v>3.8869543605242586E-3</v>
      </c>
      <c r="T6" s="7">
        <f>$B6 * IFERROR(VLOOKUP("transport|NOx|Asthma symptoms cough", US_national_yearly!$D:$AM, 28, FALSE) / VLOOKUP("transport|NOx|Asthma symptoms cough", US_national_yearly!$D:$AM, 10, FALSE), 1)</f>
        <v>3.9066548874139521E-3</v>
      </c>
      <c r="U6" s="7">
        <f>$B6 * IFERROR(VLOOKUP("transport|NOx|Asthma symptoms cough", US_national_yearly!$D:$AM, 29, FALSE) / VLOOKUP("transport|NOx|Asthma symptoms cough", US_national_yearly!$D:$AM, 10, FALSE), 1)</f>
        <v>3.9263554143036446E-3</v>
      </c>
      <c r="V6" s="7">
        <f>$B6 * IFERROR(VLOOKUP("transport|NOx|Asthma symptoms cough", US_national_yearly!$D:$AM, 30, FALSE) / VLOOKUP("transport|NOx|Asthma symptoms cough", US_national_yearly!$D:$AM, 10, FALSE), 1)</f>
        <v>3.9460559411933398E-3</v>
      </c>
      <c r="W6" s="7">
        <f>$B6 * IFERROR(VLOOKUP("transport|NOx|Asthma symptoms cough", US_national_yearly!$D:$AM, 31, FALSE) / VLOOKUP("transport|NOx|Asthma symptoms cough", US_national_yearly!$D:$AM, 10, FALSE), 1)</f>
        <v>3.9657564680830332E-3</v>
      </c>
      <c r="X6" s="7">
        <f>$B6 * IFERROR(VLOOKUP("transport|NOx|Asthma symptoms cough", US_national_yearly!$D:$AM, 32, FALSE) / VLOOKUP("transport|NOx|Asthma symptoms cough", US_national_yearly!$D:$AM, 10, FALSE), 1)</f>
        <v>3.9840610882445546E-3</v>
      </c>
      <c r="Y6" s="7">
        <f>$B6 * IFERROR(VLOOKUP("transport|NOx|Asthma symptoms cough", US_national_yearly!$D:$AM, 33, FALSE) / VLOOKUP("transport|NOx|Asthma symptoms cough", US_national_yearly!$D:$AM, 10, FALSE), 1)</f>
        <v>4.0023657084060759E-3</v>
      </c>
      <c r="Z6" s="7">
        <f>$B6 * IFERROR(VLOOKUP("transport|NOx|Asthma symptoms cough", US_national_yearly!$D:$AM, 34, FALSE) / VLOOKUP("transport|NOx|Asthma symptoms cough", US_national_yearly!$D:$AM, 10, FALSE), 1)</f>
        <v>4.0206703285675972E-3</v>
      </c>
      <c r="AA6" s="7">
        <f>$B6 * IFERROR(VLOOKUP("transport|NOx|Asthma symptoms cough", US_national_yearly!$D:$AM, 35, FALSE) / VLOOKUP("transport|NOx|Asthma symptoms cough", US_national_yearly!$D:$AM, 10, FALSE), 1)</f>
        <v>4.0389749487291186E-3</v>
      </c>
      <c r="AB6" s="7">
        <f>$B6 * IFERROR(VLOOKUP("transport|NOx|Asthma symptoms cough", US_national_yearly!$D:$AM, 36, FALSE) / VLOOKUP("transport|NOx|Asthma symptoms cough", US_national_yearly!$D:$AM, 10, FALSE), 1)</f>
        <v>4.0572795688906408E-3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4.6618261563295682E-3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4.7255609416207928E-3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4.7892957269120174E-3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4.853030512203242E-3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4.9167652974944666E-3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4.9676486171707675E-3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5.0185319368470684E-3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5.0360452479771712E-3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5.053558559107274E-3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5.0710718702373769E-3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5.0885851813674797E-3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5.1060984924975825E-3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5.1264064809901436E-3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5.1467144694827046E-3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5.1670224579752648E-3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5.1873304464678258E-3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5.2076384349603868E-3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5.2341671360524216E-3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5.260695837144458E-3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5.2872245382364937E-3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5.3137532393285275E-3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5.3402819404205631E-3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5.3649309155097682E-3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5.3895798905989742E-3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5.4142288656881801E-3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5.4388778407773852E-3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5.4635268158665911E-3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7.1230548261634972E-3</v>
      </c>
      <c r="C8" s="7">
        <f>$B8 * IFERROR(VLOOKUP("transport|NOx|Asthma symptoms wheeze", US_national_yearly!$D:$AM, 11, FALSE) / VLOOKUP("transport|NOx|Asthma symptoms wheeze", US_national_yearly!$D:$AM, 10, FALSE), 1)</f>
        <v>7.2204386315050878E-3</v>
      </c>
      <c r="D8" s="7">
        <f>$B8 * IFERROR(VLOOKUP("transport|NOx|Asthma symptoms wheeze", US_national_yearly!$D:$AM, 12, FALSE) / VLOOKUP("transport|NOx|Asthma symptoms wheeze", US_national_yearly!$D:$AM, 10, FALSE), 1)</f>
        <v>7.317822436846682E-3</v>
      </c>
      <c r="E8" s="7">
        <f>$B8 * IFERROR(VLOOKUP("transport|NOx|Asthma symptoms wheeze", US_national_yearly!$D:$AM, 13, FALSE) / VLOOKUP("transport|NOx|Asthma symptoms wheeze", US_national_yearly!$D:$AM, 10, FALSE), 1)</f>
        <v>7.4152062421882726E-3</v>
      </c>
      <c r="F8" s="7">
        <f>$B8 * IFERROR(VLOOKUP("transport|NOx|Asthma symptoms wheeze", US_national_yearly!$D:$AM, 14, FALSE) / VLOOKUP("transport|NOx|Asthma symptoms wheeze", US_national_yearly!$D:$AM, 10, FALSE), 1)</f>
        <v>7.5125900475298633E-3</v>
      </c>
      <c r="G8" s="7">
        <f>$B8 * IFERROR(VLOOKUP("transport|NOx|Asthma symptoms wheeze", US_national_yearly!$D:$AM, 15, FALSE) / VLOOKUP("transport|NOx|Asthma symptoms wheeze", US_national_yearly!$D:$AM, 10, FALSE), 1)</f>
        <v>7.5903374076856309E-3</v>
      </c>
      <c r="H8" s="7">
        <f>$B8 * IFERROR(VLOOKUP("transport|NOx|Asthma symptoms wheeze", US_national_yearly!$D:$AM, 16, FALSE) / VLOOKUP("transport|NOx|Asthma symptoms wheeze", US_national_yearly!$D:$AM, 10, FALSE), 1)</f>
        <v>7.6680847678413976E-3</v>
      </c>
      <c r="I8" s="7">
        <f>$B8 * IFERROR(VLOOKUP("transport|NOx|Asthma symptoms wheeze", US_national_yearly!$D:$AM, 17, FALSE) / VLOOKUP("transport|NOx|Asthma symptoms wheeze", US_national_yearly!$D:$AM, 10, FALSE), 1)</f>
        <v>7.6948442978489176E-3</v>
      </c>
      <c r="J8" s="7">
        <f>$B8 * IFERROR(VLOOKUP("transport|NOx|Asthma symptoms wheeze", US_national_yearly!$D:$AM, 18, FALSE) / VLOOKUP("transport|NOx|Asthma symptoms wheeze", US_national_yearly!$D:$AM, 10, FALSE), 1)</f>
        <v>7.7216038278564393E-3</v>
      </c>
      <c r="K8" s="7">
        <f>$B8 * IFERROR(VLOOKUP("transport|NOx|Asthma symptoms wheeze", US_national_yearly!$D:$AM, 19, FALSE) / VLOOKUP("transport|NOx|Asthma symptoms wheeze", US_national_yearly!$D:$AM, 10, FALSE), 1)</f>
        <v>7.7483633578639575E-3</v>
      </c>
      <c r="L8" s="7">
        <f>$B8 * IFERROR(VLOOKUP("transport|NOx|Asthma symptoms wheeze", US_national_yearly!$D:$AM, 20, FALSE) / VLOOKUP("transport|NOx|Asthma symptoms wheeze", US_national_yearly!$D:$AM, 10, FALSE), 1)</f>
        <v>7.7751228878714784E-3</v>
      </c>
      <c r="M8" s="7">
        <f>$B8 * IFERROR(VLOOKUP("transport|NOx|Asthma symptoms wheeze", US_national_yearly!$D:$AM, 21, FALSE) / VLOOKUP("transport|NOx|Asthma symptoms wheeze", US_national_yearly!$D:$AM, 10, FALSE), 1)</f>
        <v>7.8018824178789983E-3</v>
      </c>
      <c r="N8" s="7">
        <f>$B8 * IFERROR(VLOOKUP("transport|NOx|Asthma symptoms wheeze", US_national_yearly!$D:$AM, 22, FALSE) / VLOOKUP("transport|NOx|Asthma symptoms wheeze", US_national_yearly!$D:$AM, 10, FALSE), 1)</f>
        <v>7.8329120856442339E-3</v>
      </c>
      <c r="O8" s="7">
        <f>$B8 * IFERROR(VLOOKUP("transport|NOx|Asthma symptoms wheeze", US_national_yearly!$D:$AM, 23, FALSE) / VLOOKUP("transport|NOx|Asthma symptoms wheeze", US_national_yearly!$D:$AM, 10, FALSE), 1)</f>
        <v>7.8639417534094713E-3</v>
      </c>
      <c r="P8" s="7">
        <f>$B8 * IFERROR(VLOOKUP("transport|NOx|Asthma symptoms wheeze", US_national_yearly!$D:$AM, 24, FALSE) / VLOOKUP("transport|NOx|Asthma symptoms wheeze", US_national_yearly!$D:$AM, 10, FALSE), 1)</f>
        <v>7.8949714211747068E-3</v>
      </c>
      <c r="Q8" s="7">
        <f>$B8 * IFERROR(VLOOKUP("transport|NOx|Asthma symptoms wheeze", US_national_yearly!$D:$AM, 25, FALSE) / VLOOKUP("transport|NOx|Asthma symptoms wheeze", US_national_yearly!$D:$AM, 10, FALSE), 1)</f>
        <v>7.9260010889399442E-3</v>
      </c>
      <c r="R8" s="7">
        <f>$B8 * IFERROR(VLOOKUP("transport|NOx|Asthma symptoms wheeze", US_national_yearly!$D:$AM, 26, FALSE) / VLOOKUP("transport|NOx|Asthma symptoms wheeze", US_national_yearly!$D:$AM, 10, FALSE), 1)</f>
        <v>7.9570307567051798E-3</v>
      </c>
      <c r="S8" s="7">
        <f>$B8 * IFERROR(VLOOKUP("transport|NOx|Asthma symptoms wheeze", US_national_yearly!$D:$AM, 27, FALSE) / VLOOKUP("transport|NOx|Asthma symptoms wheeze", US_national_yearly!$D:$AM, 10, FALSE), 1)</f>
        <v>7.9975653856585189E-3</v>
      </c>
      <c r="T8" s="7">
        <f>$B8 * IFERROR(VLOOKUP("transport|NOx|Asthma symptoms wheeze", US_national_yearly!$D:$AM, 28, FALSE) / VLOOKUP("transport|NOx|Asthma symptoms wheeze", US_national_yearly!$D:$AM, 10, FALSE), 1)</f>
        <v>8.0381000146118563E-3</v>
      </c>
      <c r="U8" s="7">
        <f>$B8 * IFERROR(VLOOKUP("transport|NOx|Asthma symptoms wheeze", US_national_yearly!$D:$AM, 29, FALSE) / VLOOKUP("transport|NOx|Asthma symptoms wheeze", US_national_yearly!$D:$AM, 10, FALSE), 1)</f>
        <v>8.0786346435651937E-3</v>
      </c>
      <c r="V8" s="7">
        <f>$B8 * IFERROR(VLOOKUP("transport|NOx|Asthma symptoms wheeze", US_national_yearly!$D:$AM, 30, FALSE) / VLOOKUP("transport|NOx|Asthma symptoms wheeze", US_national_yearly!$D:$AM, 10, FALSE), 1)</f>
        <v>8.1191692725185345E-3</v>
      </c>
      <c r="W8" s="7">
        <f>$B8 * IFERROR(VLOOKUP("transport|NOx|Asthma symptoms wheeze", US_national_yearly!$D:$AM, 31, FALSE) / VLOOKUP("transport|NOx|Asthma symptoms wheeze", US_national_yearly!$D:$AM, 10, FALSE), 1)</f>
        <v>8.1597039014718702E-3</v>
      </c>
      <c r="X8" s="7">
        <f>$B8 * IFERROR(VLOOKUP("transport|NOx|Asthma symptoms wheeze", US_national_yearly!$D:$AM, 32, FALSE) / VLOOKUP("transport|NOx|Asthma symptoms wheeze", US_national_yearly!$D:$AM, 10, FALSE), 1)</f>
        <v>8.1973663959970869E-3</v>
      </c>
      <c r="Y8" s="7">
        <f>$B8 * IFERROR(VLOOKUP("transport|NOx|Asthma symptoms wheeze", US_national_yearly!$D:$AM, 33, FALSE) / VLOOKUP("transport|NOx|Asthma symptoms wheeze", US_national_yearly!$D:$AM, 10, FALSE), 1)</f>
        <v>8.2350288905223019E-3</v>
      </c>
      <c r="Z8" s="7">
        <f>$B8 * IFERROR(VLOOKUP("transport|NOx|Asthma symptoms wheeze", US_national_yearly!$D:$AM, 34, FALSE) / VLOOKUP("transport|NOx|Asthma symptoms wheeze", US_national_yearly!$D:$AM, 10, FALSE), 1)</f>
        <v>8.2726913850475186E-3</v>
      </c>
      <c r="AA8" s="7">
        <f>$B8 * IFERROR(VLOOKUP("transport|NOx|Asthma symptoms wheeze", US_national_yearly!$D:$AM, 35, FALSE) / VLOOKUP("transport|NOx|Asthma symptoms wheeze", US_national_yearly!$D:$AM, 10, FALSE), 1)</f>
        <v>8.3103538795727336E-3</v>
      </c>
      <c r="AB8" s="7">
        <f>$B8 * IFERROR(VLOOKUP("transport|NOx|Asthma symptoms wheeze", US_national_yearly!$D:$AM, 36, FALSE) / VLOOKUP("transport|NOx|Asthma symptoms wheeze", US_national_yearly!$D:$AM, 10, FALSE), 1)</f>
        <v>8.3480163740979503E-3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1.131490254345159E-4</v>
      </c>
      <c r="C12" s="7">
        <f>$B12 * IFERROR(VLOOKUP("transport|NOx|Respiratory hospital admissions", US_national_yearly!$D:$AM, 11, FALSE) / VLOOKUP("transport|NOx|Respiratory hospital admissions", US_national_yearly!$D:$AM, 10, FALSE), 1)</f>
        <v>1.1597148993540499E-4</v>
      </c>
      <c r="D12" s="7">
        <f>$B12 * IFERROR(VLOOKUP("transport|NOx|Respiratory hospital admissions", US_national_yearly!$D:$AM, 12, FALSE) / VLOOKUP("transport|NOx|Respiratory hospital admissions", US_national_yearly!$D:$AM, 10, FALSE), 1)</f>
        <v>1.1879395443629412E-4</v>
      </c>
      <c r="E12" s="7">
        <f>$B12 * IFERROR(VLOOKUP("transport|NOx|Respiratory hospital admissions", US_national_yearly!$D:$AM, 13, FALSE) / VLOOKUP("transport|NOx|Respiratory hospital admissions", US_national_yearly!$D:$AM, 10, FALSE), 1)</f>
        <v>1.2161641893718324E-4</v>
      </c>
      <c r="F12" s="7">
        <f>$B12 * IFERROR(VLOOKUP("transport|NOx|Respiratory hospital admissions", US_national_yearly!$D:$AM, 14, FALSE) / VLOOKUP("transport|NOx|Respiratory hospital admissions", US_national_yearly!$D:$AM, 10, FALSE), 1)</f>
        <v>1.2443888343807236E-4</v>
      </c>
      <c r="G12" s="7">
        <f>$B12 * IFERROR(VLOOKUP("transport|NOx|Respiratory hospital admissions", US_national_yearly!$D:$AM, 15, FALSE) / VLOOKUP("transport|NOx|Respiratory hospital admissions", US_national_yearly!$D:$AM, 10, FALSE), 1)</f>
        <v>1.271372555661788E-4</v>
      </c>
      <c r="H12" s="7">
        <f>$B12 * IFERROR(VLOOKUP("transport|NOx|Respiratory hospital admissions", US_national_yearly!$D:$AM, 16, FALSE) / VLOOKUP("transport|NOx|Respiratory hospital admissions", US_national_yearly!$D:$AM, 10, FALSE), 1)</f>
        <v>1.2983562769428524E-4</v>
      </c>
      <c r="I12" s="7">
        <f>$B12 * IFERROR(VLOOKUP("transport|NOx|Respiratory hospital admissions", US_national_yearly!$D:$AM, 17, FALSE) / VLOOKUP("transport|NOx|Respiratory hospital admissions", US_national_yearly!$D:$AM, 10, FALSE), 1)</f>
        <v>1.3212660110396466E-4</v>
      </c>
      <c r="J12" s="7">
        <f>$B12 * IFERROR(VLOOKUP("transport|NOx|Respiratory hospital admissions", US_national_yearly!$D:$AM, 18, FALSE) / VLOOKUP("transport|NOx|Respiratory hospital admissions", US_national_yearly!$D:$AM, 10, FALSE), 1)</f>
        <v>1.3441757451364408E-4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1.367085479233235E-4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1.3899952133300292E-4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1.4129049474268234E-4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1.4282205171501974E-4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1.4435360868735722E-4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1.4588516565969465E-4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1.4741672263203211E-4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1.4894827960436956E-4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1.4976884632976112E-4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1.5058941305515271E-4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1.5140997978054429E-4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1.5223054650593583E-4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1.5305111323132744E-4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1.5361186398298791E-4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1.5417261473464844E-4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1.5473336548630894E-4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1.5529411623796947E-4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1.5585486698962994E-4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6.6119733674464473E-4</v>
      </c>
      <c r="C13" s="7">
        <f>$B13 * IFERROR(VLOOKUP("transport|NOx|Non-fatal heart attacks", US_national_yearly!$D:$AM, 11, FALSE) / VLOOKUP("transport|NOx|Non-fatal heart attacks", US_national_yearly!$D:$AM, 10, FALSE), 1)</f>
        <v>6.8010038605015224E-4</v>
      </c>
      <c r="D13" s="7">
        <f>$B13 * IFERROR(VLOOKUP("transport|NOx|Non-fatal heart attacks", US_national_yearly!$D:$AM, 12, FALSE) / VLOOKUP("transport|NOx|Non-fatal heart attacks", US_national_yearly!$D:$AM, 10, FALSE), 1)</f>
        <v>6.9900343535565985E-4</v>
      </c>
      <c r="E13" s="7">
        <f>$B13 * IFERROR(VLOOKUP("transport|NOx|Non-fatal heart attacks", US_national_yearly!$D:$AM, 13, FALSE) / VLOOKUP("transport|NOx|Non-fatal heart attacks", US_national_yearly!$D:$AM, 10, FALSE), 1)</f>
        <v>7.1790648466116725E-4</v>
      </c>
      <c r="F13" s="7">
        <f>$B13 * IFERROR(VLOOKUP("transport|NOx|Non-fatal heart attacks", US_national_yearly!$D:$AM, 14, FALSE) / VLOOKUP("transport|NOx|Non-fatal heart attacks", US_national_yearly!$D:$AM, 10, FALSE), 1)</f>
        <v>7.3680953396667475E-4</v>
      </c>
      <c r="G13" s="7">
        <f>$B13 * IFERROR(VLOOKUP("transport|NOx|Non-fatal heart attacks", US_national_yearly!$D:$AM, 15, FALSE) / VLOOKUP("transport|NOx|Non-fatal heart attacks", US_national_yearly!$D:$AM, 10, FALSE), 1)</f>
        <v>7.544743942555736E-4</v>
      </c>
      <c r="H13" s="7">
        <f>$B13 * IFERROR(VLOOKUP("transport|NOx|Non-fatal heart attacks", US_national_yearly!$D:$AM, 16, FALSE) / VLOOKUP("transport|NOx|Non-fatal heart attacks", US_national_yearly!$D:$AM, 10, FALSE), 1)</f>
        <v>7.7213925454447233E-4</v>
      </c>
      <c r="I13" s="7">
        <f>$B13 * IFERROR(VLOOKUP("transport|NOx|Non-fatal heart attacks", US_national_yearly!$D:$AM, 17, FALSE) / VLOOKUP("transport|NOx|Non-fatal heart attacks", US_national_yearly!$D:$AM, 10, FALSE), 1)</f>
        <v>7.8606597759593385E-4</v>
      </c>
      <c r="J13" s="7">
        <f>$B13 * IFERROR(VLOOKUP("transport|NOx|Non-fatal heart attacks", US_national_yearly!$D:$AM, 18, FALSE) / VLOOKUP("transport|NOx|Non-fatal heart attacks", US_national_yearly!$D:$AM, 10, FALSE), 1)</f>
        <v>7.9999270064739548E-4</v>
      </c>
      <c r="K13" s="7">
        <f>$B13 * IFERROR(VLOOKUP("transport|NOx|Non-fatal heart attacks", US_national_yearly!$D:$AM, 19, FALSE) / VLOOKUP("transport|NOx|Non-fatal heart attacks", US_national_yearly!$D:$AM, 10, FALSE), 1)</f>
        <v>8.1391942369885657E-4</v>
      </c>
      <c r="L13" s="7">
        <f>$B13 * IFERROR(VLOOKUP("transport|NOx|Non-fatal heart attacks", US_national_yearly!$D:$AM, 20, FALSE) / VLOOKUP("transport|NOx|Non-fatal heart attacks", US_national_yearly!$D:$AM, 10, FALSE), 1)</f>
        <v>8.2784614675031863E-4</v>
      </c>
      <c r="M13" s="7">
        <f>$B13 * IFERROR(VLOOKUP("transport|NOx|Non-fatal heart attacks", US_national_yearly!$D:$AM, 21, FALSE) / VLOOKUP("transport|NOx|Non-fatal heart attacks", US_national_yearly!$D:$AM, 10, FALSE), 1)</f>
        <v>8.4177286980177993E-4</v>
      </c>
      <c r="N13" s="7">
        <f>$B13 * IFERROR(VLOOKUP("transport|NOx|Non-fatal heart attacks", US_national_yearly!$D:$AM, 22, FALSE) / VLOOKUP("transport|NOx|Non-fatal heart attacks", US_national_yearly!$D:$AM, 10, FALSE), 1)</f>
        <v>8.5015160873938849E-4</v>
      </c>
      <c r="O13" s="7">
        <f>$B13 * IFERROR(VLOOKUP("transport|NOx|Non-fatal heart attacks", US_national_yearly!$D:$AM, 23, FALSE) / VLOOKUP("transport|NOx|Non-fatal heart attacks", US_national_yearly!$D:$AM, 10, FALSE), 1)</f>
        <v>8.5853034767699704E-4</v>
      </c>
      <c r="P13" s="7">
        <f>$B13 * IFERROR(VLOOKUP("transport|NOx|Non-fatal heart attacks", US_national_yearly!$D:$AM, 24, FALSE) / VLOOKUP("transport|NOx|Non-fatal heart attacks", US_national_yearly!$D:$AM, 10, FALSE), 1)</f>
        <v>8.6690908661460537E-4</v>
      </c>
      <c r="Q13" s="7">
        <f>$B13 * IFERROR(VLOOKUP("transport|NOx|Non-fatal heart attacks", US_national_yearly!$D:$AM, 25, FALSE) / VLOOKUP("transport|NOx|Non-fatal heart attacks", US_national_yearly!$D:$AM, 10, FALSE), 1)</f>
        <v>8.7528782555221403E-4</v>
      </c>
      <c r="R13" s="7">
        <f>$B13 * IFERROR(VLOOKUP("transport|NOx|Non-fatal heart attacks", US_national_yearly!$D:$AM, 26, FALSE) / VLOOKUP("transport|NOx|Non-fatal heart attacks", US_national_yearly!$D:$AM, 10, FALSE), 1)</f>
        <v>8.8366656448982247E-4</v>
      </c>
      <c r="S13" s="7">
        <f>$B13 * IFERROR(VLOOKUP("transport|NOx|Non-fatal heart attacks", US_national_yearly!$D:$AM, 27, FALSE) / VLOOKUP("transport|NOx|Non-fatal heart attacks", US_national_yearly!$D:$AM, 10, FALSE), 1)</f>
        <v>8.8746721842239721E-4</v>
      </c>
      <c r="T13" s="7">
        <f>$B13 * IFERROR(VLOOKUP("transport|NOx|Non-fatal heart attacks", US_national_yearly!$D:$AM, 28, FALSE) / VLOOKUP("transport|NOx|Non-fatal heart attacks", US_national_yearly!$D:$AM, 10, FALSE), 1)</f>
        <v>8.9126787235497195E-4</v>
      </c>
      <c r="U13" s="7">
        <f>$B13 * IFERROR(VLOOKUP("transport|NOx|Non-fatal heart attacks", US_national_yearly!$D:$AM, 29, FALSE) / VLOOKUP("transport|NOx|Non-fatal heart attacks", US_national_yearly!$D:$AM, 10, FALSE), 1)</f>
        <v>8.9506852628754659E-4</v>
      </c>
      <c r="V13" s="7">
        <f>$B13 * IFERROR(VLOOKUP("transport|NOx|Non-fatal heart attacks", US_national_yearly!$D:$AM, 30, FALSE) / VLOOKUP("transport|NOx|Non-fatal heart attacks", US_national_yearly!$D:$AM, 10, FALSE), 1)</f>
        <v>8.9886918022012133E-4</v>
      </c>
      <c r="W13" s="7">
        <f>$B13 * IFERROR(VLOOKUP("transport|NOx|Non-fatal heart attacks", US_national_yearly!$D:$AM, 31, FALSE) / VLOOKUP("transport|NOx|Non-fatal heart attacks", US_national_yearly!$D:$AM, 10, FALSE), 1)</f>
        <v>9.0266983415269596E-4</v>
      </c>
      <c r="X13" s="7">
        <f>$B13 * IFERROR(VLOOKUP("transport|NOx|Non-fatal heart attacks", US_national_yearly!$D:$AM, 32, FALSE) / VLOOKUP("transport|NOx|Non-fatal heart attacks", US_national_yearly!$D:$AM, 10, FALSE), 1)</f>
        <v>9.0520963109405107E-4</v>
      </c>
      <c r="Y13" s="7">
        <f>$B13 * IFERROR(VLOOKUP("transport|NOx|Non-fatal heart attacks", US_national_yearly!$D:$AM, 33, FALSE) / VLOOKUP("transport|NOx|Non-fatal heart attacks", US_national_yearly!$D:$AM, 10, FALSE), 1)</f>
        <v>9.0774942803540629E-4</v>
      </c>
      <c r="Z13" s="7">
        <f>$B13 * IFERROR(VLOOKUP("transport|NOx|Non-fatal heart attacks", US_national_yearly!$D:$AM, 34, FALSE) / VLOOKUP("transport|NOx|Non-fatal heart attacks", US_national_yearly!$D:$AM, 10, FALSE), 1)</f>
        <v>9.1028922497676129E-4</v>
      </c>
      <c r="AA13" s="7">
        <f>$B13 * IFERROR(VLOOKUP("transport|NOx|Non-fatal heart attacks", US_national_yearly!$D:$AM, 35, FALSE) / VLOOKUP("transport|NOx|Non-fatal heart attacks", US_national_yearly!$D:$AM, 10, FALSE), 1)</f>
        <v>9.1282902191811639E-4</v>
      </c>
      <c r="AB13" s="7">
        <f>$B13 * IFERROR(VLOOKUP("transport|NOx|Non-fatal heart attacks", US_national_yearly!$D:$AM, 36, FALSE) / VLOOKUP("transport|NOx|Non-fatal heart attacks", US_national_yearly!$D:$AM, 10, FALSE), 1)</f>
        <v>9.1536881885947161E-4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0.42431129302932036</v>
      </c>
      <c r="C14" s="7">
        <f>$B14 * IFERROR(VLOOKUP("transport|NOx|Minor restricted activity days", US_national_yearly!$D:$AM, 11, FALSE) / VLOOKUP("transport|NOx|Minor restricted activity days", US_national_yearly!$D:$AM, 10, FALSE), 1)</f>
        <v>0.42496183344887095</v>
      </c>
      <c r="D14" s="7">
        <f>$B14 * IFERROR(VLOOKUP("transport|NOx|Minor restricted activity days", US_national_yearly!$D:$AM, 12, FALSE) / VLOOKUP("transport|NOx|Minor restricted activity days", US_national_yearly!$D:$AM, 10, FALSE), 1)</f>
        <v>0.4256123738684216</v>
      </c>
      <c r="E14" s="7">
        <f>$B14 * IFERROR(VLOOKUP("transport|NOx|Minor restricted activity days", US_national_yearly!$D:$AM, 13, FALSE) / VLOOKUP("transport|NOx|Minor restricted activity days", US_national_yearly!$D:$AM, 10, FALSE), 1)</f>
        <v>0.42626291428797231</v>
      </c>
      <c r="F14" s="7">
        <f>$B14 * IFERROR(VLOOKUP("transport|NOx|Minor restricted activity days", US_national_yearly!$D:$AM, 14, FALSE) / VLOOKUP("transport|NOx|Minor restricted activity days", US_national_yearly!$D:$AM, 10, FALSE), 1)</f>
        <v>0.4269134547075229</v>
      </c>
      <c r="G14" s="7">
        <f>$B14 * IFERROR(VLOOKUP("transport|NOx|Minor restricted activity days", US_national_yearly!$D:$AM, 15, FALSE) / VLOOKUP("transport|NOx|Minor restricted activity days", US_national_yearly!$D:$AM, 10, FALSE), 1)</f>
        <v>0.42808817586330611</v>
      </c>
      <c r="H14" s="7">
        <f>$B14 * IFERROR(VLOOKUP("transport|NOx|Minor restricted activity days", US_national_yearly!$D:$AM, 16, FALSE) / VLOOKUP("transport|NOx|Minor restricted activity days", US_national_yearly!$D:$AM, 10, FALSE), 1)</f>
        <v>0.42926289701908921</v>
      </c>
      <c r="I14" s="7">
        <f>$B14 * IFERROR(VLOOKUP("transport|NOx|Minor restricted activity days", US_national_yearly!$D:$AM, 17, FALSE) / VLOOKUP("transport|NOx|Minor restricted activity days", US_national_yearly!$D:$AM, 10, FALSE), 1)</f>
        <v>0.43156060514651989</v>
      </c>
      <c r="J14" s="7">
        <f>$B14 * IFERROR(VLOOKUP("transport|NOx|Minor restricted activity days", US_national_yearly!$D:$AM, 18, FALSE) / VLOOKUP("transport|NOx|Minor restricted activity days", US_national_yearly!$D:$AM, 10, FALSE), 1)</f>
        <v>0.43385831327395047</v>
      </c>
      <c r="K14" s="7">
        <f>$B14 * IFERROR(VLOOKUP("transport|NOx|Minor restricted activity days", US_national_yearly!$D:$AM, 19, FALSE) / VLOOKUP("transport|NOx|Minor restricted activity days", US_national_yearly!$D:$AM, 10, FALSE), 1)</f>
        <v>0.43615602140138116</v>
      </c>
      <c r="L14" s="7">
        <f>$B14 * IFERROR(VLOOKUP("transport|NOx|Minor restricted activity days", US_national_yearly!$D:$AM, 20, FALSE) / VLOOKUP("transport|NOx|Minor restricted activity days", US_national_yearly!$D:$AM, 10, FALSE), 1)</f>
        <v>0.43845372952881173</v>
      </c>
      <c r="M14" s="7">
        <f>$B14 * IFERROR(VLOOKUP("transport|NOx|Minor restricted activity days", US_national_yearly!$D:$AM, 21, FALSE) / VLOOKUP("transport|NOx|Minor restricted activity days", US_national_yearly!$D:$AM, 10, FALSE), 1)</f>
        <v>0.44075143765624242</v>
      </c>
      <c r="N14" s="7">
        <f>$B14 * IFERROR(VLOOKUP("transport|NOx|Minor restricted activity days", US_national_yearly!$D:$AM, 22, FALSE) / VLOOKUP("transport|NOx|Minor restricted activity days", US_national_yearly!$D:$AM, 10, FALSE), 1)</f>
        <v>0.44404123470068968</v>
      </c>
      <c r="O14" s="7">
        <f>$B14 * IFERROR(VLOOKUP("transport|NOx|Minor restricted activity days", US_national_yearly!$D:$AM, 23, FALSE) / VLOOKUP("transport|NOx|Minor restricted activity days", US_national_yearly!$D:$AM, 10, FALSE), 1)</f>
        <v>0.44733103174513689</v>
      </c>
      <c r="P14" s="7">
        <f>$B14 * IFERROR(VLOOKUP("transport|NOx|Minor restricted activity days", US_national_yearly!$D:$AM, 24, FALSE) / VLOOKUP("transport|NOx|Minor restricted activity days", US_national_yearly!$D:$AM, 10, FALSE), 1)</f>
        <v>0.45062082878958415</v>
      </c>
      <c r="Q14" s="7">
        <f>$B14 * IFERROR(VLOOKUP("transport|NOx|Minor restricted activity days", US_national_yearly!$D:$AM, 25, FALSE) / VLOOKUP("transport|NOx|Minor restricted activity days", US_national_yearly!$D:$AM, 10, FALSE), 1)</f>
        <v>0.45391062583403141</v>
      </c>
      <c r="R14" s="7">
        <f>$B14 * IFERROR(VLOOKUP("transport|NOx|Minor restricted activity days", US_national_yearly!$D:$AM, 26, FALSE) / VLOOKUP("transport|NOx|Minor restricted activity days", US_national_yearly!$D:$AM, 10, FALSE), 1)</f>
        <v>0.45720042287847862</v>
      </c>
      <c r="S14" s="7">
        <f>$B14 * IFERROR(VLOOKUP("transport|NOx|Minor restricted activity days", US_national_yearly!$D:$AM, 27, FALSE) / VLOOKUP("transport|NOx|Minor restricted activity days", US_national_yearly!$D:$AM, 10, FALSE), 1)</f>
        <v>0.46048952825013856</v>
      </c>
      <c r="T14" s="7">
        <f>$B14 * IFERROR(VLOOKUP("transport|NOx|Minor restricted activity days", US_national_yearly!$D:$AM, 28, FALSE) / VLOOKUP("transport|NOx|Minor restricted activity days", US_national_yearly!$D:$AM, 10, FALSE), 1)</f>
        <v>0.46377863362179844</v>
      </c>
      <c r="U14" s="7">
        <f>$B14 * IFERROR(VLOOKUP("transport|NOx|Minor restricted activity days", US_national_yearly!$D:$AM, 29, FALSE) / VLOOKUP("transport|NOx|Minor restricted activity days", US_national_yearly!$D:$AM, 10, FALSE), 1)</f>
        <v>0.46706773899345838</v>
      </c>
      <c r="V14" s="7">
        <f>$B14 * IFERROR(VLOOKUP("transport|NOx|Minor restricted activity days", US_national_yearly!$D:$AM, 30, FALSE) / VLOOKUP("transport|NOx|Minor restricted activity days", US_national_yearly!$D:$AM, 10, FALSE), 1)</f>
        <v>0.47035684436511832</v>
      </c>
      <c r="W14" s="7">
        <f>$B14 * IFERROR(VLOOKUP("transport|NOx|Minor restricted activity days", US_national_yearly!$D:$AM, 31, FALSE) / VLOOKUP("transport|NOx|Minor restricted activity days", US_national_yearly!$D:$AM, 10, FALSE), 1)</f>
        <v>0.47364594973677815</v>
      </c>
      <c r="X14" s="7">
        <f>$B14 * IFERROR(VLOOKUP("transport|NOx|Minor restricted activity days", US_national_yearly!$D:$AM, 32, FALSE) / VLOOKUP("transport|NOx|Minor restricted activity days", US_national_yearly!$D:$AM, 10, FALSE), 1)</f>
        <v>0.47642676302731796</v>
      </c>
      <c r="Y14" s="7">
        <f>$B14 * IFERROR(VLOOKUP("transport|NOx|Minor restricted activity days", US_national_yearly!$D:$AM, 33, FALSE) / VLOOKUP("transport|NOx|Minor restricted activity days", US_national_yearly!$D:$AM, 10, FALSE), 1)</f>
        <v>0.47920757631785776</v>
      </c>
      <c r="Z14" s="7">
        <f>$B14 * IFERROR(VLOOKUP("transport|NOx|Minor restricted activity days", US_national_yearly!$D:$AM, 34, FALSE) / VLOOKUP("transport|NOx|Minor restricted activity days", US_national_yearly!$D:$AM, 10, FALSE), 1)</f>
        <v>0.48198838960839757</v>
      </c>
      <c r="AA14" s="7">
        <f>$B14 * IFERROR(VLOOKUP("transport|NOx|Minor restricted activity days", US_national_yearly!$D:$AM, 35, FALSE) / VLOOKUP("transport|NOx|Minor restricted activity days", US_national_yearly!$D:$AM, 10, FALSE), 1)</f>
        <v>0.48476920289893738</v>
      </c>
      <c r="AB14" s="7">
        <f>$B14 * IFERROR(VLOOKUP("transport|NOx|Minor restricted activity days", US_national_yearly!$D:$AM, 36, FALSE) / VLOOKUP("transport|NOx|Minor restricted activity days", US_national_yearly!$D:$AM, 10, FALSE), 1)</f>
        <v>0.48755001618947719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7.1690057314527447E-2</v>
      </c>
      <c r="C15" s="7">
        <f>$B15 * IFERROR(VLOOKUP("transport|NOx|Work loss days", US_national_yearly!$D:$AM, 11, FALSE) / VLOOKUP("transport|NOx|Work loss days", US_national_yearly!$D:$AM, 10, FALSE), 1)</f>
        <v>7.1849527990342152E-2</v>
      </c>
      <c r="D15" s="7">
        <f>$B15 * IFERROR(VLOOKUP("transport|NOx|Work loss days", US_national_yearly!$D:$AM, 12, FALSE) / VLOOKUP("transport|NOx|Work loss days", US_national_yearly!$D:$AM, 10, FALSE), 1)</f>
        <v>7.200899866615687E-2</v>
      </c>
      <c r="E15" s="7">
        <f>$B15 * IFERROR(VLOOKUP("transport|NOx|Work loss days", US_national_yearly!$D:$AM, 13, FALSE) / VLOOKUP("transport|NOx|Work loss days", US_national_yearly!$D:$AM, 10, FALSE), 1)</f>
        <v>7.2168469341971575E-2</v>
      </c>
      <c r="F15" s="7">
        <f>$B15 * IFERROR(VLOOKUP("transport|NOx|Work loss days", US_national_yearly!$D:$AM, 14, FALSE) / VLOOKUP("transport|NOx|Work loss days", US_national_yearly!$D:$AM, 10, FALSE), 1)</f>
        <v>7.2327940017786294E-2</v>
      </c>
      <c r="G15" s="7">
        <f>$B15 * IFERROR(VLOOKUP("transport|NOx|Work loss days", US_national_yearly!$D:$AM, 15, FALSE) / VLOOKUP("transport|NOx|Work loss days", US_national_yearly!$D:$AM, 10, FALSE), 1)</f>
        <v>7.2560768564831429E-2</v>
      </c>
      <c r="H15" s="7">
        <f>$B15 * IFERROR(VLOOKUP("transport|NOx|Work loss days", US_national_yearly!$D:$AM, 16, FALSE) / VLOOKUP("transport|NOx|Work loss days", US_national_yearly!$D:$AM, 10, FALSE), 1)</f>
        <v>7.2793597111876593E-2</v>
      </c>
      <c r="I15" s="7">
        <f>$B15 * IFERROR(VLOOKUP("transport|NOx|Work loss days", US_national_yearly!$D:$AM, 17, FALSE) / VLOOKUP("transport|NOx|Work loss days", US_national_yearly!$D:$AM, 10, FALSE), 1)</f>
        <v>7.3170766739663329E-2</v>
      </c>
      <c r="J15" s="7">
        <f>$B15 * IFERROR(VLOOKUP("transport|NOx|Work loss days", US_national_yearly!$D:$AM, 18, FALSE) / VLOOKUP("transport|NOx|Work loss days", US_national_yearly!$D:$AM, 10, FALSE), 1)</f>
        <v>7.3547936367450092E-2</v>
      </c>
      <c r="K15" s="7">
        <f>$B15 * IFERROR(VLOOKUP("transport|NOx|Work loss days", US_national_yearly!$D:$AM, 19, FALSE) / VLOOKUP("transport|NOx|Work loss days", US_national_yearly!$D:$AM, 10, FALSE), 1)</f>
        <v>7.3925105995236842E-2</v>
      </c>
      <c r="L15" s="7">
        <f>$B15 * IFERROR(VLOOKUP("transport|NOx|Work loss days", US_national_yearly!$D:$AM, 20, FALSE) / VLOOKUP("transport|NOx|Work loss days", US_national_yearly!$D:$AM, 10, FALSE), 1)</f>
        <v>7.4302275623023592E-2</v>
      </c>
      <c r="M15" s="7">
        <f>$B15 * IFERROR(VLOOKUP("transport|NOx|Work loss days", US_national_yearly!$D:$AM, 21, FALSE) / VLOOKUP("transport|NOx|Work loss days", US_national_yearly!$D:$AM, 10, FALSE), 1)</f>
        <v>7.4679445250810356E-2</v>
      </c>
      <c r="N15" s="7">
        <f>$B15 * IFERROR(VLOOKUP("transport|NOx|Work loss days", US_national_yearly!$D:$AM, 22, FALSE) / VLOOKUP("transport|NOx|Work loss days", US_national_yearly!$D:$AM, 10, FALSE), 1)</f>
        <v>7.5170308377215528E-2</v>
      </c>
      <c r="O15" s="7">
        <f>$B15 * IFERROR(VLOOKUP("transport|NOx|Work loss days", US_national_yearly!$D:$AM, 23, FALSE) / VLOOKUP("transport|NOx|Work loss days", US_national_yearly!$D:$AM, 10, FALSE), 1)</f>
        <v>7.5661171503620714E-2</v>
      </c>
      <c r="P15" s="7">
        <f>$B15 * IFERROR(VLOOKUP("transport|NOx|Work loss days", US_national_yearly!$D:$AM, 24, FALSE) / VLOOKUP("transport|NOx|Work loss days", US_national_yearly!$D:$AM, 10, FALSE), 1)</f>
        <v>7.6152034630025886E-2</v>
      </c>
      <c r="Q15" s="7">
        <f>$B15 * IFERROR(VLOOKUP("transport|NOx|Work loss days", US_national_yearly!$D:$AM, 25, FALSE) / VLOOKUP("transport|NOx|Work loss days", US_national_yearly!$D:$AM, 10, FALSE), 1)</f>
        <v>7.6642897756431058E-2</v>
      </c>
      <c r="R15" s="7">
        <f>$B15 * IFERROR(VLOOKUP("transport|NOx|Work loss days", US_national_yearly!$D:$AM, 26, FALSE) / VLOOKUP("transport|NOx|Work loss days", US_national_yearly!$D:$AM, 10, FALSE), 1)</f>
        <v>7.7133760882836244E-2</v>
      </c>
      <c r="S15" s="7">
        <f>$B15 * IFERROR(VLOOKUP("transport|NOx|Work loss days", US_national_yearly!$D:$AM, 27, FALSE) / VLOOKUP("transport|NOx|Work loss days", US_national_yearly!$D:$AM, 10, FALSE), 1)</f>
        <v>7.7681010506034653E-2</v>
      </c>
      <c r="T15" s="7">
        <f>$B15 * IFERROR(VLOOKUP("transport|NOx|Work loss days", US_national_yearly!$D:$AM, 28, FALSE) / VLOOKUP("transport|NOx|Work loss days", US_national_yearly!$D:$AM, 10, FALSE), 1)</f>
        <v>7.8228260129233063E-2</v>
      </c>
      <c r="U15" s="7">
        <f>$B15 * IFERROR(VLOOKUP("transport|NOx|Work loss days", US_national_yearly!$D:$AM, 29, FALSE) / VLOOKUP("transport|NOx|Work loss days", US_national_yearly!$D:$AM, 10, FALSE), 1)</f>
        <v>7.8775509752431458E-2</v>
      </c>
      <c r="V15" s="7">
        <f>$B15 * IFERROR(VLOOKUP("transport|NOx|Work loss days", US_national_yearly!$D:$AM, 30, FALSE) / VLOOKUP("transport|NOx|Work loss days", US_national_yearly!$D:$AM, 10, FALSE), 1)</f>
        <v>7.9322759375629867E-2</v>
      </c>
      <c r="W15" s="7">
        <f>$B15 * IFERROR(VLOOKUP("transport|NOx|Work loss days", US_national_yearly!$D:$AM, 31, FALSE) / VLOOKUP("transport|NOx|Work loss days", US_national_yearly!$D:$AM, 10, FALSE), 1)</f>
        <v>7.9870008998828276E-2</v>
      </c>
      <c r="X15" s="7">
        <f>$B15 * IFERROR(VLOOKUP("transport|NOx|Work loss days", US_national_yearly!$D:$AM, 32, FALSE) / VLOOKUP("transport|NOx|Work loss days", US_national_yearly!$D:$AM, 10, FALSE), 1)</f>
        <v>8.0344992494198297E-2</v>
      </c>
      <c r="Y15" s="7">
        <f>$B15 * IFERROR(VLOOKUP("transport|NOx|Work loss days", US_national_yearly!$D:$AM, 33, FALSE) / VLOOKUP("transport|NOx|Work loss days", US_national_yearly!$D:$AM, 10, FALSE), 1)</f>
        <v>8.0819975989568318E-2</v>
      </c>
      <c r="Z15" s="7">
        <f>$B15 * IFERROR(VLOOKUP("transport|NOx|Work loss days", US_national_yearly!$D:$AM, 34, FALSE) / VLOOKUP("transport|NOx|Work loss days", US_national_yearly!$D:$AM, 10, FALSE), 1)</f>
        <v>8.1294959484938353E-2</v>
      </c>
      <c r="AA15" s="7">
        <f>$B15 * IFERROR(VLOOKUP("transport|NOx|Work loss days", US_national_yearly!$D:$AM, 35, FALSE) / VLOOKUP("transport|NOx|Work loss days", US_national_yearly!$D:$AM, 10, FALSE), 1)</f>
        <v>8.1769942980308374E-2</v>
      </c>
      <c r="AB15" s="7">
        <f>$B15 * IFERROR(VLOOKUP("transport|NOx|Work loss days", US_national_yearly!$D:$AM, 36, FALSE) / VLOOKUP("transport|NOx|Work loss days", US_national_yearly!$D:$AM, 10, FALSE), 1)</f>
        <v>8.2244926475678395E-2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1.6622969638842622E-4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1.7111429479714729E-4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1.7599889320586834E-4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1.8088349161458938E-4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1.8576809002331045E-4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1.9040765072309476E-4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1.950472114228791E-4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1.9894872404949195E-4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2.0285023667610482E-4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2.0675174930271766E-4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2.1065326192933051E-4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2.1455477455594341E-4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2.169945196771497E-4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2.1943426479835603E-4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2.2187400991956229E-4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2.2431375504076861E-4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2.2675350016197488E-4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2.2786668886420753E-4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2.2897987756644015E-4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2.3009306626867274E-4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2.3120625497090536E-4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2.3231944367313798E-4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2.32938971779754E-4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2.3355849988636998E-4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2.34178027992986E-4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2.3479755609960202E-4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2.3541708420621803E-4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8.2782637354435248E-3</v>
      </c>
      <c r="C2" s="7">
        <f>$B2 * IFERROR(VLOOKUP("transport|SO2|Premature mortality", US_national_yearly!$D:$AM, 11, FALSE) / VLOOKUP("transport|SO2|Premature mortality", US_national_yearly!$D:$AM, 10, FALSE), 1)</f>
        <v>8.38310346657886E-3</v>
      </c>
      <c r="D2" s="7">
        <f>$B2 * IFERROR(VLOOKUP("transport|SO2|Premature mortality", US_national_yearly!$D:$AM, 12, FALSE) / VLOOKUP("transport|SO2|Premature mortality", US_national_yearly!$D:$AM, 10, FALSE), 1)</f>
        <v>8.487943197714197E-3</v>
      </c>
      <c r="E2" s="7">
        <f>$B2 * IFERROR(VLOOKUP("transport|SO2|Premature mortality", US_national_yearly!$D:$AM, 13, FALSE) / VLOOKUP("transport|SO2|Premature mortality", US_national_yearly!$D:$AM, 10, FALSE), 1)</f>
        <v>8.5927829288495322E-3</v>
      </c>
      <c r="F2" s="7">
        <f>$B2 * IFERROR(VLOOKUP("transport|SO2|Premature mortality", US_national_yearly!$D:$AM, 14, FALSE) / VLOOKUP("transport|SO2|Premature mortality", US_national_yearly!$D:$AM, 10, FALSE), 1)</f>
        <v>8.6976226599848692E-3</v>
      </c>
      <c r="G2" s="7">
        <f>$B2 * IFERROR(VLOOKUP("transport|SO2|Premature mortality", US_national_yearly!$D:$AM, 15, FALSE) / VLOOKUP("transport|SO2|Premature mortality", US_national_yearly!$D:$AM, 10, FALSE), 1)</f>
        <v>8.8996428802112816E-3</v>
      </c>
      <c r="H2" s="7">
        <f>$B2 * IFERROR(VLOOKUP("transport|SO2|Premature mortality", US_national_yearly!$D:$AM, 16, FALSE) / VLOOKUP("transport|SO2|Premature mortality", US_national_yearly!$D:$AM, 10, FALSE), 1)</f>
        <v>9.1016631004376906E-3</v>
      </c>
      <c r="I2" s="7">
        <f>$B2 * IFERROR(VLOOKUP("transport|SO2|Premature mortality", US_national_yearly!$D:$AM, 17, FALSE) / VLOOKUP("transport|SO2|Premature mortality", US_national_yearly!$D:$AM, 10, FALSE), 1)</f>
        <v>9.2351704405542034E-3</v>
      </c>
      <c r="J2" s="7">
        <f>$B2 * IFERROR(VLOOKUP("transport|SO2|Premature mortality", US_national_yearly!$D:$AM, 18, FALSE) / VLOOKUP("transport|SO2|Premature mortality", US_national_yearly!$D:$AM, 10, FALSE), 1)</f>
        <v>9.3686777806707144E-3</v>
      </c>
      <c r="K2" s="7">
        <f>$B2 * IFERROR(VLOOKUP("transport|SO2|Premature mortality", US_national_yearly!$D:$AM, 19, FALSE) / VLOOKUP("transport|SO2|Premature mortality", US_national_yearly!$D:$AM, 10, FALSE), 1)</f>
        <v>9.5021851207872255E-3</v>
      </c>
      <c r="L2" s="7">
        <f>$B2 * IFERROR(VLOOKUP("transport|SO2|Premature mortality", US_national_yearly!$D:$AM, 20, FALSE) / VLOOKUP("transport|SO2|Premature mortality", US_national_yearly!$D:$AM, 10, FALSE), 1)</f>
        <v>9.6356924609037366E-3</v>
      </c>
      <c r="M2" s="7">
        <f>$B2 * IFERROR(VLOOKUP("transport|SO2|Premature mortality", US_national_yearly!$D:$AM, 21, FALSE) / VLOOKUP("transport|SO2|Premature mortality", US_national_yearly!$D:$AM, 10, FALSE), 1)</f>
        <v>9.7691998010202476E-3</v>
      </c>
      <c r="N2" s="7">
        <f>$B2 * IFERROR(VLOOKUP("transport|SO2|Premature mortality", US_national_yearly!$D:$AM, 22, FALSE) / VLOOKUP("transport|SO2|Premature mortality", US_national_yearly!$D:$AM, 10, FALSE), 1)</f>
        <v>9.8735151947851249E-3</v>
      </c>
      <c r="O2" s="7">
        <f>$B2 * IFERROR(VLOOKUP("transport|SO2|Premature mortality", US_national_yearly!$D:$AM, 23, FALSE) / VLOOKUP("transport|SO2|Premature mortality", US_national_yearly!$D:$AM, 10, FALSE), 1)</f>
        <v>9.9778305885500022E-3</v>
      </c>
      <c r="P2" s="7">
        <f>$B2 * IFERROR(VLOOKUP("transport|SO2|Premature mortality", US_national_yearly!$D:$AM, 24, FALSE) / VLOOKUP("transport|SO2|Premature mortality", US_national_yearly!$D:$AM, 10, FALSE), 1)</f>
        <v>1.0082145982314878E-2</v>
      </c>
      <c r="Q2" s="7">
        <f>$B2 * IFERROR(VLOOKUP("transport|SO2|Premature mortality", US_national_yearly!$D:$AM, 25, FALSE) / VLOOKUP("transport|SO2|Premature mortality", US_national_yearly!$D:$AM, 10, FALSE), 1)</f>
        <v>1.0186461376079755E-2</v>
      </c>
      <c r="R2" s="7">
        <f>$B2 * IFERROR(VLOOKUP("transport|SO2|Premature mortality", US_national_yearly!$D:$AM, 26, FALSE) / VLOOKUP("transport|SO2|Premature mortality", US_national_yearly!$D:$AM, 10, FALSE), 1)</f>
        <v>1.0290776769844629E-2</v>
      </c>
      <c r="S2" s="7">
        <f>$B2 * IFERROR(VLOOKUP("transport|SO2|Premature mortality", US_national_yearly!$D:$AM, 27, FALSE) / VLOOKUP("transport|SO2|Premature mortality", US_national_yearly!$D:$AM, 10, FALSE), 1)</f>
        <v>1.0346639052185974E-2</v>
      </c>
      <c r="T2" s="7">
        <f>$B2 * IFERROR(VLOOKUP("transport|SO2|Premature mortality", US_national_yearly!$D:$AM, 28, FALSE) / VLOOKUP("transport|SO2|Premature mortality", US_national_yearly!$D:$AM, 10, FALSE), 1)</f>
        <v>1.0402501334527315E-2</v>
      </c>
      <c r="U2" s="7">
        <f>$B2 * IFERROR(VLOOKUP("transport|SO2|Premature mortality", US_national_yearly!$D:$AM, 29, FALSE) / VLOOKUP("transport|SO2|Premature mortality", US_national_yearly!$D:$AM, 10, FALSE), 1)</f>
        <v>1.0458363616868659E-2</v>
      </c>
      <c r="V2" s="7">
        <f>$B2 * IFERROR(VLOOKUP("transport|SO2|Premature mortality", US_national_yearly!$D:$AM, 30, FALSE) / VLOOKUP("transport|SO2|Premature mortality", US_national_yearly!$D:$AM, 10, FALSE), 1)</f>
        <v>1.0514225899210002E-2</v>
      </c>
      <c r="W2" s="7">
        <f>$B2 * IFERROR(VLOOKUP("transport|SO2|Premature mortality", US_national_yearly!$D:$AM, 31, FALSE) / VLOOKUP("transport|SO2|Premature mortality", US_national_yearly!$D:$AM, 10, FALSE), 1)</f>
        <v>1.0570088181551345E-2</v>
      </c>
      <c r="X2" s="7">
        <f>$B2 * IFERROR(VLOOKUP("transport|SO2|Premature mortality", US_national_yearly!$D:$AM, 32, FALSE) / VLOOKUP("transport|SO2|Premature mortality", US_national_yearly!$D:$AM, 10, FALSE), 1)</f>
        <v>1.058143677507886E-2</v>
      </c>
      <c r="Y2" s="7">
        <f>$B2 * IFERROR(VLOOKUP("transport|SO2|Premature mortality", US_national_yearly!$D:$AM, 33, FALSE) / VLOOKUP("transport|SO2|Premature mortality", US_national_yearly!$D:$AM, 10, FALSE), 1)</f>
        <v>1.0592785368606377E-2</v>
      </c>
      <c r="Z2" s="7">
        <f>$B2 * IFERROR(VLOOKUP("transport|SO2|Premature mortality", US_national_yearly!$D:$AM, 34, FALSE) / VLOOKUP("transport|SO2|Premature mortality", US_national_yearly!$D:$AM, 10, FALSE), 1)</f>
        <v>1.0604133962133895E-2</v>
      </c>
      <c r="AA2" s="7">
        <f>$B2 * IFERROR(VLOOKUP("transport|SO2|Premature mortality", US_national_yearly!$D:$AM, 35, FALSE) / VLOOKUP("transport|SO2|Premature mortality", US_national_yearly!$D:$AM, 10, FALSE), 1)</f>
        <v>1.0615482555661412E-2</v>
      </c>
      <c r="AB2" s="7">
        <f>$B2 * IFERROR(VLOOKUP("transport|SO2|Premature mortality", US_national_yearly!$D:$AM, 36, FALSE) / VLOOKUP("transport|SO2|Premature mortality", US_national_yearly!$D:$AM, 10, FALSE), 1)</f>
        <v>1.0626831149188927E-2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2.3216034809395305E-5</v>
      </c>
      <c r="C3" s="7">
        <f>$B3 * IFERROR(VLOOKUP("transport|SO2|Infant mortality", US_national_yearly!$D:$AM, 11, FALSE) / VLOOKUP("transport|SO2|Infant mortality", US_national_yearly!$D:$AM, 10, FALSE), 1)</f>
        <v>2.3016604835648513E-5</v>
      </c>
      <c r="D3" s="7">
        <f>$B3 * IFERROR(VLOOKUP("transport|SO2|Infant mortality", US_national_yearly!$D:$AM, 12, FALSE) / VLOOKUP("transport|SO2|Infant mortality", US_national_yearly!$D:$AM, 10, FALSE), 1)</f>
        <v>2.2817174861901728E-5</v>
      </c>
      <c r="E3" s="7">
        <f>$B3 * IFERROR(VLOOKUP("transport|SO2|Infant mortality", US_national_yearly!$D:$AM, 13, FALSE) / VLOOKUP("transport|SO2|Infant mortality", US_national_yearly!$D:$AM, 10, FALSE), 1)</f>
        <v>2.2617744888154932E-5</v>
      </c>
      <c r="F3" s="7">
        <f>$B3 * IFERROR(VLOOKUP("transport|SO2|Infant mortality", US_national_yearly!$D:$AM, 14, FALSE) / VLOOKUP("transport|SO2|Infant mortality", US_national_yearly!$D:$AM, 10, FALSE), 1)</f>
        <v>2.2418314914408144E-5</v>
      </c>
      <c r="G3" s="7">
        <f>$B3 * IFERROR(VLOOKUP("transport|SO2|Infant mortality", US_national_yearly!$D:$AM, 15, FALSE) / VLOOKUP("transport|SO2|Infant mortality", US_national_yearly!$D:$AM, 10, FALSE), 1)</f>
        <v>1.4932403339515458E-5</v>
      </c>
      <c r="H3" s="7">
        <f>$B3 * IFERROR(VLOOKUP("transport|SO2|Infant mortality", US_national_yearly!$D:$AM, 16, FALSE) / VLOOKUP("transport|SO2|Infant mortality", US_national_yearly!$D:$AM, 10, FALSE), 1)</f>
        <v>7.4464917646227835E-6</v>
      </c>
      <c r="I3" s="7">
        <f>$B3 * IFERROR(VLOOKUP("transport|SO2|Infant mortality", US_national_yearly!$D:$AM, 17, FALSE) / VLOOKUP("transport|SO2|Infant mortality", US_national_yearly!$D:$AM, 10, FALSE), 1)</f>
        <v>7.3997776731358544E-6</v>
      </c>
      <c r="J3" s="7">
        <f>$B3 * IFERROR(VLOOKUP("transport|SO2|Infant mortality", US_national_yearly!$D:$AM, 18, FALSE) / VLOOKUP("transport|SO2|Infant mortality", US_national_yearly!$D:$AM, 10, FALSE), 1)</f>
        <v>7.3530635816489262E-6</v>
      </c>
      <c r="K3" s="7">
        <f>$B3 * IFERROR(VLOOKUP("transport|SO2|Infant mortality", US_national_yearly!$D:$AM, 19, FALSE) / VLOOKUP("transport|SO2|Infant mortality", US_national_yearly!$D:$AM, 10, FALSE), 1)</f>
        <v>7.3063494901619972E-6</v>
      </c>
      <c r="L3" s="7">
        <f>$B3 * IFERROR(VLOOKUP("transport|SO2|Infant mortality", US_national_yearly!$D:$AM, 20, FALSE) / VLOOKUP("transport|SO2|Infant mortality", US_national_yearly!$D:$AM, 10, FALSE), 1)</f>
        <v>7.2596353986750706E-6</v>
      </c>
      <c r="M3" s="7">
        <f>$B3 * IFERROR(VLOOKUP("transport|SO2|Infant mortality", US_national_yearly!$D:$AM, 21, FALSE) / VLOOKUP("transport|SO2|Infant mortality", US_national_yearly!$D:$AM, 10, FALSE), 1)</f>
        <v>7.2129213071881416E-6</v>
      </c>
      <c r="N3" s="7">
        <f>$B3 * IFERROR(VLOOKUP("transport|SO2|Infant mortality", US_national_yearly!$D:$AM, 22, FALSE) / VLOOKUP("transport|SO2|Infant mortality", US_national_yearly!$D:$AM, 10, FALSE), 1)</f>
        <v>7.1835992216944211E-6</v>
      </c>
      <c r="O3" s="7">
        <f>$B3 * IFERROR(VLOOKUP("transport|SO2|Infant mortality", US_national_yearly!$D:$AM, 23, FALSE) / VLOOKUP("transport|SO2|Infant mortality", US_national_yearly!$D:$AM, 10, FALSE), 1)</f>
        <v>7.1542771362007006E-6</v>
      </c>
      <c r="P3" s="7">
        <f>$B3 * IFERROR(VLOOKUP("transport|SO2|Infant mortality", US_national_yearly!$D:$AM, 24, FALSE) / VLOOKUP("transport|SO2|Infant mortality", US_national_yearly!$D:$AM, 10, FALSE), 1)</f>
        <v>7.1249550507069783E-6</v>
      </c>
      <c r="Q3" s="7">
        <f>$B3 * IFERROR(VLOOKUP("transport|SO2|Infant mortality", US_national_yearly!$D:$AM, 25, FALSE) / VLOOKUP("transport|SO2|Infant mortality", US_national_yearly!$D:$AM, 10, FALSE), 1)</f>
        <v>7.0956329652132578E-6</v>
      </c>
      <c r="R3" s="7">
        <f>$B3 * IFERROR(VLOOKUP("transport|SO2|Infant mortality", US_national_yearly!$D:$AM, 26, FALSE) / VLOOKUP("transport|SO2|Infant mortality", US_national_yearly!$D:$AM, 10, FALSE), 1)</f>
        <v>7.0663108797195356E-6</v>
      </c>
      <c r="S3" s="7">
        <f>$B3 * IFERROR(VLOOKUP("transport|SO2|Infant mortality", US_national_yearly!$D:$AM, 27, FALSE) / VLOOKUP("transport|SO2|Infant mortality", US_national_yearly!$D:$AM, 10, FALSE), 1)</f>
        <v>7.0294952150424824E-6</v>
      </c>
      <c r="T3" s="7">
        <f>$B3 * IFERROR(VLOOKUP("transport|SO2|Infant mortality", US_national_yearly!$D:$AM, 28, FALSE) / VLOOKUP("transport|SO2|Infant mortality", US_national_yearly!$D:$AM, 10, FALSE), 1)</f>
        <v>6.9926795503654292E-6</v>
      </c>
      <c r="U3" s="7">
        <f>$B3 * IFERROR(VLOOKUP("transport|SO2|Infant mortality", US_national_yearly!$D:$AM, 29, FALSE) / VLOOKUP("transport|SO2|Infant mortality", US_national_yearly!$D:$AM, 10, FALSE), 1)</f>
        <v>6.9558638856883734E-6</v>
      </c>
      <c r="V3" s="7">
        <f>$B3 * IFERROR(VLOOKUP("transport|SO2|Infant mortality", US_national_yearly!$D:$AM, 30, FALSE) / VLOOKUP("transport|SO2|Infant mortality", US_national_yearly!$D:$AM, 10, FALSE), 1)</f>
        <v>6.9190482210113219E-6</v>
      </c>
      <c r="W3" s="7">
        <f>$B3 * IFERROR(VLOOKUP("transport|SO2|Infant mortality", US_national_yearly!$D:$AM, 31, FALSE) / VLOOKUP("transport|SO2|Infant mortality", US_national_yearly!$D:$AM, 10, FALSE), 1)</f>
        <v>6.8822325563342679E-6</v>
      </c>
      <c r="X3" s="7">
        <f>$B3 * IFERROR(VLOOKUP("transport|SO2|Infant mortality", US_national_yearly!$D:$AM, 32, FALSE) / VLOOKUP("transport|SO2|Infant mortality", US_national_yearly!$D:$AM, 10, FALSE), 1)</f>
        <v>6.8419816708747585E-6</v>
      </c>
      <c r="Y3" s="7">
        <f>$B3 * IFERROR(VLOOKUP("transport|SO2|Infant mortality", US_national_yearly!$D:$AM, 33, FALSE) / VLOOKUP("transport|SO2|Infant mortality", US_national_yearly!$D:$AM, 10, FALSE), 1)</f>
        <v>6.8017307854152467E-6</v>
      </c>
      <c r="Z3" s="7">
        <f>$B3 * IFERROR(VLOOKUP("transport|SO2|Infant mortality", US_national_yearly!$D:$AM, 34, FALSE) / VLOOKUP("transport|SO2|Infant mortality", US_national_yearly!$D:$AM, 10, FALSE), 1)</f>
        <v>6.7614798999557374E-6</v>
      </c>
      <c r="AA3" s="7">
        <f>$B3 * IFERROR(VLOOKUP("transport|SO2|Infant mortality", US_national_yearly!$D:$AM, 35, FALSE) / VLOOKUP("transport|SO2|Infant mortality", US_national_yearly!$D:$AM, 10, FALSE), 1)</f>
        <v>6.7212290144962255E-6</v>
      </c>
      <c r="AB3" s="7">
        <f>$B3 * IFERROR(VLOOKUP("transport|SO2|Infant mortality", US_national_yearly!$D:$AM, 36, FALSE) / VLOOKUP("transport|SO2|Infant mortality", US_national_yearly!$D:$AM, 10, FALSE), 1)</f>
        <v>6.6809781290367162E-6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1.8662124788364147E-2</v>
      </c>
      <c r="C6" s="7">
        <f>$B6 * IFERROR(VLOOKUP("transport|SO2|Asthma symptoms cough", US_national_yearly!$D:$AM, 11, FALSE) / VLOOKUP("transport|SO2|Asthma symptoms cough", US_national_yearly!$D:$AM, 10, FALSE), 1)</f>
        <v>1.8662124788364147E-2</v>
      </c>
      <c r="D6" s="7">
        <f>$B6 * IFERROR(VLOOKUP("transport|SO2|Asthma symptoms cough", US_national_yearly!$D:$AM, 12, FALSE) / VLOOKUP("transport|SO2|Asthma symptoms cough", US_national_yearly!$D:$AM, 10, FALSE), 1)</f>
        <v>1.8662124788364147E-2</v>
      </c>
      <c r="E6" s="7">
        <f>$B6 * IFERROR(VLOOKUP("transport|SO2|Asthma symptoms cough", US_national_yearly!$D:$AM, 13, FALSE) / VLOOKUP("transport|SO2|Asthma symptoms cough", US_national_yearly!$D:$AM, 10, FALSE), 1)</f>
        <v>1.8662124788364147E-2</v>
      </c>
      <c r="F6" s="7">
        <f>$B6 * IFERROR(VLOOKUP("transport|SO2|Asthma symptoms cough", US_national_yearly!$D:$AM, 14, FALSE) / VLOOKUP("transport|SO2|Asthma symptoms cough", US_national_yearly!$D:$AM, 10, FALSE), 1)</f>
        <v>1.8662124788364147E-2</v>
      </c>
      <c r="G6" s="7">
        <f>$B6 * IFERROR(VLOOKUP("transport|SO2|Asthma symptoms cough", US_national_yearly!$D:$AM, 15, FALSE) / VLOOKUP("transport|SO2|Asthma symptoms cough", US_national_yearly!$D:$AM, 10, FALSE), 1)</f>
        <v>1.8662124788364147E-2</v>
      </c>
      <c r="H6" s="7">
        <f>$B6 * IFERROR(VLOOKUP("transport|SO2|Asthma symptoms cough", US_national_yearly!$D:$AM, 16, FALSE) / VLOOKUP("transport|SO2|Asthma symptoms cough", US_national_yearly!$D:$AM, 10, FALSE), 1)</f>
        <v>1.8662124788364147E-2</v>
      </c>
      <c r="I6" s="7">
        <f>$B6 * IFERROR(VLOOKUP("transport|SO2|Asthma symptoms cough", US_national_yearly!$D:$AM, 17, FALSE) / VLOOKUP("transport|SO2|Asthma symptoms cough", US_national_yearly!$D:$AM, 10, FALSE), 1)</f>
        <v>1.8662124788364147E-2</v>
      </c>
      <c r="J6" s="7">
        <f>$B6 * IFERROR(VLOOKUP("transport|SO2|Asthma symptoms cough", US_national_yearly!$D:$AM, 18, FALSE) / VLOOKUP("transport|SO2|Asthma symptoms cough", US_national_yearly!$D:$AM, 10, FALSE), 1)</f>
        <v>1.8662124788364147E-2</v>
      </c>
      <c r="K6" s="7">
        <f>$B6 * IFERROR(VLOOKUP("transport|SO2|Asthma symptoms cough", US_national_yearly!$D:$AM, 19, FALSE) / VLOOKUP("transport|SO2|Asthma symptoms cough", US_national_yearly!$D:$AM, 10, FALSE), 1)</f>
        <v>1.8662124788364147E-2</v>
      </c>
      <c r="L6" s="7">
        <f>$B6 * IFERROR(VLOOKUP("transport|SO2|Asthma symptoms cough", US_national_yearly!$D:$AM, 20, FALSE) / VLOOKUP("transport|SO2|Asthma symptoms cough", US_national_yearly!$D:$AM, 10, FALSE), 1)</f>
        <v>1.8662124788364147E-2</v>
      </c>
      <c r="M6" s="7">
        <f>$B6 * IFERROR(VLOOKUP("transport|SO2|Asthma symptoms cough", US_national_yearly!$D:$AM, 21, FALSE) / VLOOKUP("transport|SO2|Asthma symptoms cough", US_national_yearly!$D:$AM, 10, FALSE), 1)</f>
        <v>1.8662124788364147E-2</v>
      </c>
      <c r="N6" s="7">
        <f>$B6 * IFERROR(VLOOKUP("transport|SO2|Asthma symptoms cough", US_national_yearly!$D:$AM, 22, FALSE) / VLOOKUP("transport|SO2|Asthma symptoms cough", US_national_yearly!$D:$AM, 10, FALSE), 1)</f>
        <v>1.8662124788364147E-2</v>
      </c>
      <c r="O6" s="7">
        <f>$B6 * IFERROR(VLOOKUP("transport|SO2|Asthma symptoms cough", US_national_yearly!$D:$AM, 23, FALSE) / VLOOKUP("transport|SO2|Asthma symptoms cough", US_national_yearly!$D:$AM, 10, FALSE), 1)</f>
        <v>1.8662124788364147E-2</v>
      </c>
      <c r="P6" s="7">
        <f>$B6 * IFERROR(VLOOKUP("transport|SO2|Asthma symptoms cough", US_national_yearly!$D:$AM, 24, FALSE) / VLOOKUP("transport|SO2|Asthma symptoms cough", US_national_yearly!$D:$AM, 10, FALSE), 1)</f>
        <v>1.8662124788364147E-2</v>
      </c>
      <c r="Q6" s="7">
        <f>$B6 * IFERROR(VLOOKUP("transport|SO2|Asthma symptoms cough", US_national_yearly!$D:$AM, 25, FALSE) / VLOOKUP("transport|SO2|Asthma symptoms cough", US_national_yearly!$D:$AM, 10, FALSE), 1)</f>
        <v>1.8662124788364147E-2</v>
      </c>
      <c r="R6" s="7">
        <f>$B6 * IFERROR(VLOOKUP("transport|SO2|Asthma symptoms cough", US_national_yearly!$D:$AM, 26, FALSE) / VLOOKUP("transport|SO2|Asthma symptoms cough", US_national_yearly!$D:$AM, 10, FALSE), 1)</f>
        <v>1.8662124788364147E-2</v>
      </c>
      <c r="S6" s="7">
        <f>$B6 * IFERROR(VLOOKUP("transport|SO2|Asthma symptoms cough", US_national_yearly!$D:$AM, 27, FALSE) / VLOOKUP("transport|SO2|Asthma symptoms cough", US_national_yearly!$D:$AM, 10, FALSE), 1)</f>
        <v>1.8662124788364147E-2</v>
      </c>
      <c r="T6" s="7">
        <f>$B6 * IFERROR(VLOOKUP("transport|SO2|Asthma symptoms cough", US_national_yearly!$D:$AM, 28, FALSE) / VLOOKUP("transport|SO2|Asthma symptoms cough", US_national_yearly!$D:$AM, 10, FALSE), 1)</f>
        <v>1.8662124788364147E-2</v>
      </c>
      <c r="U6" s="7">
        <f>$B6 * IFERROR(VLOOKUP("transport|SO2|Asthma symptoms cough", US_national_yearly!$D:$AM, 29, FALSE) / VLOOKUP("transport|SO2|Asthma symptoms cough", US_national_yearly!$D:$AM, 10, FALSE), 1)</f>
        <v>1.8662124788364147E-2</v>
      </c>
      <c r="V6" s="7">
        <f>$B6 * IFERROR(VLOOKUP("transport|SO2|Asthma symptoms cough", US_national_yearly!$D:$AM, 30, FALSE) / VLOOKUP("transport|SO2|Asthma symptoms cough", US_national_yearly!$D:$AM, 10, FALSE), 1)</f>
        <v>1.8662124788364147E-2</v>
      </c>
      <c r="W6" s="7">
        <f>$B6 * IFERROR(VLOOKUP("transport|SO2|Asthma symptoms cough", US_national_yearly!$D:$AM, 31, FALSE) / VLOOKUP("transport|SO2|Asthma symptoms cough", US_national_yearly!$D:$AM, 10, FALSE), 1)</f>
        <v>1.8662124788364147E-2</v>
      </c>
      <c r="X6" s="7">
        <f>$B6 * IFERROR(VLOOKUP("transport|SO2|Asthma symptoms cough", US_national_yearly!$D:$AM, 32, FALSE) / VLOOKUP("transport|SO2|Asthma symptoms cough", US_national_yearly!$D:$AM, 10, FALSE), 1)</f>
        <v>1.8662124788364147E-2</v>
      </c>
      <c r="Y6" s="7">
        <f>$B6 * IFERROR(VLOOKUP("transport|SO2|Asthma symptoms cough", US_national_yearly!$D:$AM, 33, FALSE) / VLOOKUP("transport|SO2|Asthma symptoms cough", US_national_yearly!$D:$AM, 10, FALSE), 1)</f>
        <v>1.8662124788364147E-2</v>
      </c>
      <c r="Z6" s="7">
        <f>$B6 * IFERROR(VLOOKUP("transport|SO2|Asthma symptoms cough", US_national_yearly!$D:$AM, 34, FALSE) / VLOOKUP("transport|SO2|Asthma symptoms cough", US_national_yearly!$D:$AM, 10, FALSE), 1)</f>
        <v>1.8662124788364147E-2</v>
      </c>
      <c r="AA6" s="7">
        <f>$B6 * IFERROR(VLOOKUP("transport|SO2|Asthma symptoms cough", US_national_yearly!$D:$AM, 35, FALSE) / VLOOKUP("transport|SO2|Asthma symptoms cough", US_national_yearly!$D:$AM, 10, FALSE), 1)</f>
        <v>1.8662124788364147E-2</v>
      </c>
      <c r="AB6" s="7">
        <f>$B6 * IFERROR(VLOOKUP("transport|SO2|Asthma symptoms cough", US_national_yearly!$D:$AM, 36, FALSE) / VLOOKUP("transport|SO2|Asthma symptoms cough", US_national_yearly!$D:$AM, 10, FALSE), 1)</f>
        <v>1.8662124788364147E-2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2.5131264901465E-2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2.5131264901465E-2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2.5131264901465E-2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2.5131264901465E-2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2.5131264901465E-2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2.5131264901465E-2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2.5131264901465E-2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2.5131264901465E-2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2.5131264901465E-2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2.5131264901465E-2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2.5131264901465E-2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2.5131264901465E-2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2.5131264901465E-2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2.5131264901465E-2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2.5131264901465E-2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2.5131264901465E-2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2.5131264901465E-2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2.5131264901465E-2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2.5131264901465E-2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2.5131264901465E-2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2.5131264901465E-2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2.5131264901465E-2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2.5131264901465E-2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2.5131264901465E-2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2.5131264901465E-2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2.5131264901465E-2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2.5131264901465E-2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3.8396292523577791E-2</v>
      </c>
      <c r="C8" s="7">
        <f>$B8 * IFERROR(VLOOKUP("transport|SO2|Asthma symptoms wheeze", US_national_yearly!$D:$AM, 11, FALSE) / VLOOKUP("transport|SO2|Asthma symptoms wheeze", US_national_yearly!$D:$AM, 10, FALSE), 1)</f>
        <v>3.8396292523577791E-2</v>
      </c>
      <c r="D8" s="7">
        <f>$B8 * IFERROR(VLOOKUP("transport|SO2|Asthma symptoms wheeze", US_national_yearly!$D:$AM, 12, FALSE) / VLOOKUP("transport|SO2|Asthma symptoms wheeze", US_national_yearly!$D:$AM, 10, FALSE), 1)</f>
        <v>3.8396292523577791E-2</v>
      </c>
      <c r="E8" s="7">
        <f>$B8 * IFERROR(VLOOKUP("transport|SO2|Asthma symptoms wheeze", US_national_yearly!$D:$AM, 13, FALSE) / VLOOKUP("transport|SO2|Asthma symptoms wheeze", US_national_yearly!$D:$AM, 10, FALSE), 1)</f>
        <v>3.8396292523577791E-2</v>
      </c>
      <c r="F8" s="7">
        <f>$B8 * IFERROR(VLOOKUP("transport|SO2|Asthma symptoms wheeze", US_national_yearly!$D:$AM, 14, FALSE) / VLOOKUP("transport|SO2|Asthma symptoms wheeze", US_national_yearly!$D:$AM, 10, FALSE), 1)</f>
        <v>3.8396292523577791E-2</v>
      </c>
      <c r="G8" s="7">
        <f>$B8 * IFERROR(VLOOKUP("transport|SO2|Asthma symptoms wheeze", US_national_yearly!$D:$AM, 15, FALSE) / VLOOKUP("transport|SO2|Asthma symptoms wheeze", US_national_yearly!$D:$AM, 10, FALSE), 1)</f>
        <v>3.8396292523577791E-2</v>
      </c>
      <c r="H8" s="7">
        <f>$B8 * IFERROR(VLOOKUP("transport|SO2|Asthma symptoms wheeze", US_national_yearly!$D:$AM, 16, FALSE) / VLOOKUP("transport|SO2|Asthma symptoms wheeze", US_national_yearly!$D:$AM, 10, FALSE), 1)</f>
        <v>3.8396292523577791E-2</v>
      </c>
      <c r="I8" s="7">
        <f>$B8 * IFERROR(VLOOKUP("transport|SO2|Asthma symptoms wheeze", US_national_yearly!$D:$AM, 17, FALSE) / VLOOKUP("transport|SO2|Asthma symptoms wheeze", US_national_yearly!$D:$AM, 10, FALSE), 1)</f>
        <v>3.8396292523577791E-2</v>
      </c>
      <c r="J8" s="7">
        <f>$B8 * IFERROR(VLOOKUP("transport|SO2|Asthma symptoms wheeze", US_national_yearly!$D:$AM, 18, FALSE) / VLOOKUP("transport|SO2|Asthma symptoms wheeze", US_national_yearly!$D:$AM, 10, FALSE), 1)</f>
        <v>3.8396292523577791E-2</v>
      </c>
      <c r="K8" s="7">
        <f>$B8 * IFERROR(VLOOKUP("transport|SO2|Asthma symptoms wheeze", US_national_yearly!$D:$AM, 19, FALSE) / VLOOKUP("transport|SO2|Asthma symptoms wheeze", US_national_yearly!$D:$AM, 10, FALSE), 1)</f>
        <v>3.8396292523577791E-2</v>
      </c>
      <c r="L8" s="7">
        <f>$B8 * IFERROR(VLOOKUP("transport|SO2|Asthma symptoms wheeze", US_national_yearly!$D:$AM, 20, FALSE) / VLOOKUP("transport|SO2|Asthma symptoms wheeze", US_national_yearly!$D:$AM, 10, FALSE), 1)</f>
        <v>3.8396292523577791E-2</v>
      </c>
      <c r="M8" s="7">
        <f>$B8 * IFERROR(VLOOKUP("transport|SO2|Asthma symptoms wheeze", US_national_yearly!$D:$AM, 21, FALSE) / VLOOKUP("transport|SO2|Asthma symptoms wheeze", US_national_yearly!$D:$AM, 10, FALSE), 1)</f>
        <v>3.8396292523577791E-2</v>
      </c>
      <c r="N8" s="7">
        <f>$B8 * IFERROR(VLOOKUP("transport|SO2|Asthma symptoms wheeze", US_national_yearly!$D:$AM, 22, FALSE) / VLOOKUP("transport|SO2|Asthma symptoms wheeze", US_national_yearly!$D:$AM, 10, FALSE), 1)</f>
        <v>3.8396292523577791E-2</v>
      </c>
      <c r="O8" s="7">
        <f>$B8 * IFERROR(VLOOKUP("transport|SO2|Asthma symptoms wheeze", US_national_yearly!$D:$AM, 23, FALSE) / VLOOKUP("transport|SO2|Asthma symptoms wheeze", US_national_yearly!$D:$AM, 10, FALSE), 1)</f>
        <v>3.8396292523577791E-2</v>
      </c>
      <c r="P8" s="7">
        <f>$B8 * IFERROR(VLOOKUP("transport|SO2|Asthma symptoms wheeze", US_national_yearly!$D:$AM, 24, FALSE) / VLOOKUP("transport|SO2|Asthma symptoms wheeze", US_national_yearly!$D:$AM, 10, FALSE), 1)</f>
        <v>3.8396292523577791E-2</v>
      </c>
      <c r="Q8" s="7">
        <f>$B8 * IFERROR(VLOOKUP("transport|SO2|Asthma symptoms wheeze", US_national_yearly!$D:$AM, 25, FALSE) / VLOOKUP("transport|SO2|Asthma symptoms wheeze", US_national_yearly!$D:$AM, 10, FALSE), 1)</f>
        <v>3.8396292523577791E-2</v>
      </c>
      <c r="R8" s="7">
        <f>$B8 * IFERROR(VLOOKUP("transport|SO2|Asthma symptoms wheeze", US_national_yearly!$D:$AM, 26, FALSE) / VLOOKUP("transport|SO2|Asthma symptoms wheeze", US_national_yearly!$D:$AM, 10, FALSE), 1)</f>
        <v>3.8396292523577791E-2</v>
      </c>
      <c r="S8" s="7">
        <f>$B8 * IFERROR(VLOOKUP("transport|SO2|Asthma symptoms wheeze", US_national_yearly!$D:$AM, 27, FALSE) / VLOOKUP("transport|SO2|Asthma symptoms wheeze", US_national_yearly!$D:$AM, 10, FALSE), 1)</f>
        <v>3.8396292523577791E-2</v>
      </c>
      <c r="T8" s="7">
        <f>$B8 * IFERROR(VLOOKUP("transport|SO2|Asthma symptoms wheeze", US_national_yearly!$D:$AM, 28, FALSE) / VLOOKUP("transport|SO2|Asthma symptoms wheeze", US_national_yearly!$D:$AM, 10, FALSE), 1)</f>
        <v>3.8396292523577791E-2</v>
      </c>
      <c r="U8" s="7">
        <f>$B8 * IFERROR(VLOOKUP("transport|SO2|Asthma symptoms wheeze", US_national_yearly!$D:$AM, 29, FALSE) / VLOOKUP("transport|SO2|Asthma symptoms wheeze", US_national_yearly!$D:$AM, 10, FALSE), 1)</f>
        <v>3.8396292523577791E-2</v>
      </c>
      <c r="V8" s="7">
        <f>$B8 * IFERROR(VLOOKUP("transport|SO2|Asthma symptoms wheeze", US_national_yearly!$D:$AM, 30, FALSE) / VLOOKUP("transport|SO2|Asthma symptoms wheeze", US_national_yearly!$D:$AM, 10, FALSE), 1)</f>
        <v>3.8396292523577791E-2</v>
      </c>
      <c r="W8" s="7">
        <f>$B8 * IFERROR(VLOOKUP("transport|SO2|Asthma symptoms wheeze", US_national_yearly!$D:$AM, 31, FALSE) / VLOOKUP("transport|SO2|Asthma symptoms wheeze", US_national_yearly!$D:$AM, 10, FALSE), 1)</f>
        <v>3.8396292523577791E-2</v>
      </c>
      <c r="X8" s="7">
        <f>$B8 * IFERROR(VLOOKUP("transport|SO2|Asthma symptoms wheeze", US_national_yearly!$D:$AM, 32, FALSE) / VLOOKUP("transport|SO2|Asthma symptoms wheeze", US_national_yearly!$D:$AM, 10, FALSE), 1)</f>
        <v>3.8396292523577791E-2</v>
      </c>
      <c r="Y8" s="7">
        <f>$B8 * IFERROR(VLOOKUP("transport|SO2|Asthma symptoms wheeze", US_national_yearly!$D:$AM, 33, FALSE) / VLOOKUP("transport|SO2|Asthma symptoms wheeze", US_national_yearly!$D:$AM, 10, FALSE), 1)</f>
        <v>3.8396292523577791E-2</v>
      </c>
      <c r="Z8" s="7">
        <f>$B8 * IFERROR(VLOOKUP("transport|SO2|Asthma symptoms wheeze", US_national_yearly!$D:$AM, 34, FALSE) / VLOOKUP("transport|SO2|Asthma symptoms wheeze", US_national_yearly!$D:$AM, 10, FALSE), 1)</f>
        <v>3.8396292523577791E-2</v>
      </c>
      <c r="AA8" s="7">
        <f>$B8 * IFERROR(VLOOKUP("transport|SO2|Asthma symptoms wheeze", US_national_yearly!$D:$AM, 35, FALSE) / VLOOKUP("transport|SO2|Asthma symptoms wheeze", US_national_yearly!$D:$AM, 10, FALSE), 1)</f>
        <v>3.8396292523577791E-2</v>
      </c>
      <c r="AB8" s="7">
        <f>$B8 * IFERROR(VLOOKUP("transport|SO2|Asthma symptoms wheeze", US_national_yearly!$D:$AM, 36, FALSE) / VLOOKUP("transport|SO2|Asthma symptoms wheeze", US_national_yearly!$D:$AM, 10, FALSE), 1)</f>
        <v>3.8396292523577791E-2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5.8574030409871448E-4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5.8919502952059423E-4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5.9264975494247398E-4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5.9610448036435373E-4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5.9955920578623348E-4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6.0332543920805582E-4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6.0709167262987826E-4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6.1080562720710262E-4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6.1451958178432721E-4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6.1823353636155146E-4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6.2194749093877604E-4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6.2566144551600041E-4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6.2837251771280468E-4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6.3108358990960885E-4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6.3379466210641291E-4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6.3650573430321729E-4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6.3921680650002135E-4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6.4180296251512687E-4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6.4438911853023216E-4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6.4697527454533768E-4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6.4956143056044309E-4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6.521475865755485E-4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6.546014240375247E-4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6.570552614995009E-4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6.5950909896147711E-4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6.6196293642345331E-4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6.6441677388542962E-4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3.4552119354320106E-3</v>
      </c>
      <c r="C13" s="7">
        <f>$B13 * IFERROR(VLOOKUP("transport|SO2|Non-fatal heart attacks", US_national_yearly!$D:$AM, 11, FALSE) / VLOOKUP("transport|SO2|Non-fatal heart attacks", US_national_yearly!$D:$AM, 10, FALSE), 1)</f>
        <v>3.5566444078384178E-3</v>
      </c>
      <c r="D13" s="7">
        <f>$B13 * IFERROR(VLOOKUP("transport|SO2|Non-fatal heart attacks", US_national_yearly!$D:$AM, 12, FALSE) / VLOOKUP("transport|SO2|Non-fatal heart attacks", US_national_yearly!$D:$AM, 10, FALSE), 1)</f>
        <v>3.6580768802448251E-3</v>
      </c>
      <c r="E13" s="7">
        <f>$B13 * IFERROR(VLOOKUP("transport|SO2|Non-fatal heart attacks", US_national_yearly!$D:$AM, 13, FALSE) / VLOOKUP("transport|SO2|Non-fatal heart attacks", US_national_yearly!$D:$AM, 10, FALSE), 1)</f>
        <v>3.7595093526512323E-3</v>
      </c>
      <c r="F13" s="7">
        <f>$B13 * IFERROR(VLOOKUP("transport|SO2|Non-fatal heart attacks", US_national_yearly!$D:$AM, 14, FALSE) / VLOOKUP("transport|SO2|Non-fatal heart attacks", US_national_yearly!$D:$AM, 10, FALSE), 1)</f>
        <v>3.8609418250576386E-3</v>
      </c>
      <c r="G13" s="7">
        <f>$B13 * IFERROR(VLOOKUP("transport|SO2|Non-fatal heart attacks", US_national_yearly!$D:$AM, 15, FALSE) / VLOOKUP("transport|SO2|Non-fatal heart attacks", US_national_yearly!$D:$AM, 10, FALSE), 1)</f>
        <v>3.9566020549734564E-3</v>
      </c>
      <c r="H13" s="7">
        <f>$B13 * IFERROR(VLOOKUP("transport|SO2|Non-fatal heart attacks", US_national_yearly!$D:$AM, 16, FALSE) / VLOOKUP("transport|SO2|Non-fatal heart attacks", US_national_yearly!$D:$AM, 10, FALSE), 1)</f>
        <v>4.0522622848892737E-3</v>
      </c>
      <c r="I13" s="7">
        <f>$B13 * IFERROR(VLOOKUP("transport|SO2|Non-fatal heart attacks", US_national_yearly!$D:$AM, 17, FALSE) / VLOOKUP("transport|SO2|Non-fatal heart attacks", US_national_yearly!$D:$AM, 10, FALSE), 1)</f>
        <v>4.1292387818763487E-3</v>
      </c>
      <c r="J13" s="7">
        <f>$B13 * IFERROR(VLOOKUP("transport|SO2|Non-fatal heart attacks", US_national_yearly!$D:$AM, 18, FALSE) / VLOOKUP("transport|SO2|Non-fatal heart attacks", US_national_yearly!$D:$AM, 10, FALSE), 1)</f>
        <v>4.2062152788634247E-3</v>
      </c>
      <c r="K13" s="7">
        <f>$B13 * IFERROR(VLOOKUP("transport|SO2|Non-fatal heart attacks", US_national_yearly!$D:$AM, 19, FALSE) / VLOOKUP("transport|SO2|Non-fatal heart attacks", US_national_yearly!$D:$AM, 10, FALSE), 1)</f>
        <v>4.2831917758504997E-3</v>
      </c>
      <c r="L13" s="7">
        <f>$B13 * IFERROR(VLOOKUP("transport|SO2|Non-fatal heart attacks", US_national_yearly!$D:$AM, 20, FALSE) / VLOOKUP("transport|SO2|Non-fatal heart attacks", US_national_yearly!$D:$AM, 10, FALSE), 1)</f>
        <v>4.3601682728375765E-3</v>
      </c>
      <c r="M13" s="7">
        <f>$B13 * IFERROR(VLOOKUP("transport|SO2|Non-fatal heart attacks", US_national_yearly!$D:$AM, 21, FALSE) / VLOOKUP("transport|SO2|Non-fatal heart attacks", US_national_yearly!$D:$AM, 10, FALSE), 1)</f>
        <v>4.4371447698246524E-3</v>
      </c>
      <c r="N13" s="7">
        <f>$B13 * IFERROR(VLOOKUP("transport|SO2|Non-fatal heart attacks", US_national_yearly!$D:$AM, 22, FALSE) / VLOOKUP("transport|SO2|Non-fatal heart attacks", US_national_yearly!$D:$AM, 10, FALSE), 1)</f>
        <v>4.487126539317831E-3</v>
      </c>
      <c r="O13" s="7">
        <f>$B13 * IFERROR(VLOOKUP("transport|SO2|Non-fatal heart attacks", US_national_yearly!$D:$AM, 23, FALSE) / VLOOKUP("transport|SO2|Non-fatal heart attacks", US_national_yearly!$D:$AM, 10, FALSE), 1)</f>
        <v>4.5371083088110113E-3</v>
      </c>
      <c r="P13" s="7">
        <f>$B13 * IFERROR(VLOOKUP("transport|SO2|Non-fatal heart attacks", US_national_yearly!$D:$AM, 24, FALSE) / VLOOKUP("transport|SO2|Non-fatal heart attacks", US_national_yearly!$D:$AM, 10, FALSE), 1)</f>
        <v>4.5870900783041915E-3</v>
      </c>
      <c r="Q13" s="7">
        <f>$B13 * IFERROR(VLOOKUP("transport|SO2|Non-fatal heart attacks", US_national_yearly!$D:$AM, 25, FALSE) / VLOOKUP("transport|SO2|Non-fatal heart attacks", US_national_yearly!$D:$AM, 10, FALSE), 1)</f>
        <v>4.6370718477973718E-3</v>
      </c>
      <c r="R13" s="7">
        <f>$B13 * IFERROR(VLOOKUP("transport|SO2|Non-fatal heart attacks", US_national_yearly!$D:$AM, 26, FALSE) / VLOOKUP("transport|SO2|Non-fatal heart attacks", US_national_yearly!$D:$AM, 10, FALSE), 1)</f>
        <v>4.6870536172905512E-3</v>
      </c>
      <c r="S13" s="7">
        <f>$B13 * IFERROR(VLOOKUP("transport|SO2|Non-fatal heart attacks", US_national_yearly!$D:$AM, 27, FALSE) / VLOOKUP("transport|SO2|Non-fatal heart attacks", US_national_yearly!$D:$AM, 10, FALSE), 1)</f>
        <v>4.7131488180060304E-3</v>
      </c>
      <c r="T13" s="7">
        <f>$B13 * IFERROR(VLOOKUP("transport|SO2|Non-fatal heart attacks", US_national_yearly!$D:$AM, 28, FALSE) / VLOOKUP("transport|SO2|Non-fatal heart attacks", US_national_yearly!$D:$AM, 10, FALSE), 1)</f>
        <v>4.7392440187215105E-3</v>
      </c>
      <c r="U13" s="7">
        <f>$B13 * IFERROR(VLOOKUP("transport|SO2|Non-fatal heart attacks", US_national_yearly!$D:$AM, 29, FALSE) / VLOOKUP("transport|SO2|Non-fatal heart attacks", US_national_yearly!$D:$AM, 10, FALSE), 1)</f>
        <v>4.7653392194369898E-3</v>
      </c>
      <c r="V13" s="7">
        <f>$B13 * IFERROR(VLOOKUP("transport|SO2|Non-fatal heart attacks", US_national_yearly!$D:$AM, 30, FALSE) / VLOOKUP("transport|SO2|Non-fatal heart attacks", US_national_yearly!$D:$AM, 10, FALSE), 1)</f>
        <v>4.7914344201524682E-3</v>
      </c>
      <c r="W13" s="7">
        <f>$B13 * IFERROR(VLOOKUP("transport|SO2|Non-fatal heart attacks", US_national_yearly!$D:$AM, 31, FALSE) / VLOOKUP("transport|SO2|Non-fatal heart attacks", US_national_yearly!$D:$AM, 10, FALSE), 1)</f>
        <v>4.8175296208679491E-3</v>
      </c>
      <c r="X13" s="7">
        <f>$B13 * IFERROR(VLOOKUP("transport|SO2|Non-fatal heart attacks", US_national_yearly!$D:$AM, 32, FALSE) / VLOOKUP("transport|SO2|Non-fatal heart attacks", US_national_yearly!$D:$AM, 10, FALSE), 1)</f>
        <v>4.8372292147604318E-3</v>
      </c>
      <c r="Y13" s="7">
        <f>$B13 * IFERROR(VLOOKUP("transport|SO2|Non-fatal heart attacks", US_national_yearly!$D:$AM, 33, FALSE) / VLOOKUP("transport|SO2|Non-fatal heart attacks", US_national_yearly!$D:$AM, 10, FALSE), 1)</f>
        <v>4.8569288086529154E-3</v>
      </c>
      <c r="Z13" s="7">
        <f>$B13 * IFERROR(VLOOKUP("transport|SO2|Non-fatal heart attacks", US_national_yearly!$D:$AM, 34, FALSE) / VLOOKUP("transport|SO2|Non-fatal heart attacks", US_national_yearly!$D:$AM, 10, FALSE), 1)</f>
        <v>4.8766284025453981E-3</v>
      </c>
      <c r="AA13" s="7">
        <f>$B13 * IFERROR(VLOOKUP("transport|SO2|Non-fatal heart attacks", US_national_yearly!$D:$AM, 35, FALSE) / VLOOKUP("transport|SO2|Non-fatal heart attacks", US_national_yearly!$D:$AM, 10, FALSE), 1)</f>
        <v>4.8963279964378808E-3</v>
      </c>
      <c r="AB13" s="7">
        <f>$B13 * IFERROR(VLOOKUP("transport|SO2|Non-fatal heart attacks", US_national_yearly!$D:$AM, 36, FALSE) / VLOOKUP("transport|SO2|Non-fatal heart attacks", US_national_yearly!$D:$AM, 10, FALSE), 1)</f>
        <v>4.9160275903303643E-3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2.3016013651807072</v>
      </c>
      <c r="C14" s="7">
        <f>$B14 * IFERROR(VLOOKUP("transport|SO2|Minor restricted activity days", US_national_yearly!$D:$AM, 11, FALSE) / VLOOKUP("transport|SO2|Minor restricted activity days", US_national_yearly!$D:$AM, 10, FALSE), 1)</f>
        <v>2.3074029353464236</v>
      </c>
      <c r="D14" s="7">
        <f>$B14 * IFERROR(VLOOKUP("transport|SO2|Minor restricted activity days", US_national_yearly!$D:$AM, 12, FALSE) / VLOOKUP("transport|SO2|Minor restricted activity days", US_national_yearly!$D:$AM, 10, FALSE), 1)</f>
        <v>2.3132045055121395</v>
      </c>
      <c r="E14" s="7">
        <f>$B14 * IFERROR(VLOOKUP("transport|SO2|Minor restricted activity days", US_national_yearly!$D:$AM, 13, FALSE) / VLOOKUP("transport|SO2|Minor restricted activity days", US_national_yearly!$D:$AM, 10, FALSE), 1)</f>
        <v>2.3190060756778559</v>
      </c>
      <c r="F14" s="7">
        <f>$B14 * IFERROR(VLOOKUP("transport|SO2|Minor restricted activity days", US_national_yearly!$D:$AM, 14, FALSE) / VLOOKUP("transport|SO2|Minor restricted activity days", US_national_yearly!$D:$AM, 10, FALSE), 1)</f>
        <v>2.3248076458435718</v>
      </c>
      <c r="G14" s="7">
        <f>$B14 * IFERROR(VLOOKUP("transport|SO2|Minor restricted activity days", US_national_yearly!$D:$AM, 15, FALSE) / VLOOKUP("transport|SO2|Minor restricted activity days", US_national_yearly!$D:$AM, 10, FALSE), 1)</f>
        <v>2.3333469871780705</v>
      </c>
      <c r="H14" s="7">
        <f>$B14 * IFERROR(VLOOKUP("transport|SO2|Minor restricted activity days", US_national_yearly!$D:$AM, 16, FALSE) / VLOOKUP("transport|SO2|Minor restricted activity days", US_national_yearly!$D:$AM, 10, FALSE), 1)</f>
        <v>2.3418863285125693</v>
      </c>
      <c r="I14" s="7">
        <f>$B14 * IFERROR(VLOOKUP("transport|SO2|Minor restricted activity days", US_national_yearly!$D:$AM, 17, FALSE) / VLOOKUP("transport|SO2|Minor restricted activity days", US_national_yearly!$D:$AM, 10, FALSE), 1)</f>
        <v>2.3564493791986871</v>
      </c>
      <c r="J14" s="7">
        <f>$B14 * IFERROR(VLOOKUP("transport|SO2|Minor restricted activity days", US_national_yearly!$D:$AM, 18, FALSE) / VLOOKUP("transport|SO2|Minor restricted activity days", US_national_yearly!$D:$AM, 10, FALSE), 1)</f>
        <v>2.371012429884805</v>
      </c>
      <c r="K14" s="7">
        <f>$B14 * IFERROR(VLOOKUP("transport|SO2|Minor restricted activity days", US_national_yearly!$D:$AM, 19, FALSE) / VLOOKUP("transport|SO2|Minor restricted activity days", US_national_yearly!$D:$AM, 10, FALSE), 1)</f>
        <v>2.3855754805709233</v>
      </c>
      <c r="L14" s="7">
        <f>$B14 * IFERROR(VLOOKUP("transport|SO2|Minor restricted activity days", US_national_yearly!$D:$AM, 20, FALSE) / VLOOKUP("transport|SO2|Minor restricted activity days", US_national_yearly!$D:$AM, 10, FALSE), 1)</f>
        <v>2.4001385312570407</v>
      </c>
      <c r="M14" s="7">
        <f>$B14 * IFERROR(VLOOKUP("transport|SO2|Minor restricted activity days", US_national_yearly!$D:$AM, 21, FALSE) / VLOOKUP("transport|SO2|Minor restricted activity days", US_national_yearly!$D:$AM, 10, FALSE), 1)</f>
        <v>2.4147015819431585</v>
      </c>
      <c r="N14" s="7">
        <f>$B14 * IFERROR(VLOOKUP("transport|SO2|Minor restricted activity days", US_national_yearly!$D:$AM, 22, FALSE) / VLOOKUP("transport|SO2|Minor restricted activity days", US_national_yearly!$D:$AM, 10, FALSE), 1)</f>
        <v>2.4346214985095322</v>
      </c>
      <c r="O14" s="7">
        <f>$B14 * IFERROR(VLOOKUP("transport|SO2|Minor restricted activity days", US_national_yearly!$D:$AM, 23, FALSE) / VLOOKUP("transport|SO2|Minor restricted activity days", US_national_yearly!$D:$AM, 10, FALSE), 1)</f>
        <v>2.454541415075906</v>
      </c>
      <c r="P14" s="7">
        <f>$B14 * IFERROR(VLOOKUP("transport|SO2|Minor restricted activity days", US_national_yearly!$D:$AM, 24, FALSE) / VLOOKUP("transport|SO2|Minor restricted activity days", US_national_yearly!$D:$AM, 10, FALSE), 1)</f>
        <v>2.4744613316422797</v>
      </c>
      <c r="Q14" s="7">
        <f>$B14 * IFERROR(VLOOKUP("transport|SO2|Minor restricted activity days", US_national_yearly!$D:$AM, 25, FALSE) / VLOOKUP("transport|SO2|Minor restricted activity days", US_national_yearly!$D:$AM, 10, FALSE), 1)</f>
        <v>2.4943812482086534</v>
      </c>
      <c r="R14" s="7">
        <f>$B14 * IFERROR(VLOOKUP("transport|SO2|Minor restricted activity days", US_national_yearly!$D:$AM, 26, FALSE) / VLOOKUP("transport|SO2|Minor restricted activity days", US_national_yearly!$D:$AM, 10, FALSE), 1)</f>
        <v>2.5143011647750271</v>
      </c>
      <c r="S14" s="7">
        <f>$B14 * IFERROR(VLOOKUP("transport|SO2|Minor restricted activity days", US_national_yearly!$D:$AM, 27, FALSE) / VLOOKUP("transport|SO2|Minor restricted activity days", US_national_yearly!$D:$AM, 10, FALSE), 1)</f>
        <v>2.5346114693548625</v>
      </c>
      <c r="T14" s="7">
        <f>$B14 * IFERROR(VLOOKUP("transport|SO2|Minor restricted activity days", US_national_yearly!$D:$AM, 28, FALSE) / VLOOKUP("transport|SO2|Minor restricted activity days", US_national_yearly!$D:$AM, 10, FALSE), 1)</f>
        <v>2.5549217739346979</v>
      </c>
      <c r="U14" s="7">
        <f>$B14 * IFERROR(VLOOKUP("transport|SO2|Minor restricted activity days", US_national_yearly!$D:$AM, 29, FALSE) / VLOOKUP("transport|SO2|Minor restricted activity days", US_national_yearly!$D:$AM, 10, FALSE), 1)</f>
        <v>2.5752320785145337</v>
      </c>
      <c r="V14" s="7">
        <f>$B14 * IFERROR(VLOOKUP("transport|SO2|Minor restricted activity days", US_national_yearly!$D:$AM, 30, FALSE) / VLOOKUP("transport|SO2|Minor restricted activity days", US_national_yearly!$D:$AM, 10, FALSE), 1)</f>
        <v>2.5955423830943691</v>
      </c>
      <c r="W14" s="7">
        <f>$B14 * IFERROR(VLOOKUP("transport|SO2|Minor restricted activity days", US_national_yearly!$D:$AM, 31, FALSE) / VLOOKUP("transport|SO2|Minor restricted activity days", US_national_yearly!$D:$AM, 10, FALSE), 1)</f>
        <v>2.615852687674205</v>
      </c>
      <c r="X14" s="7">
        <f>$B14 * IFERROR(VLOOKUP("transport|SO2|Minor restricted activity days", US_national_yearly!$D:$AM, 32, FALSE) / VLOOKUP("transport|SO2|Minor restricted activity days", US_national_yearly!$D:$AM, 10, FALSE), 1)</f>
        <v>2.6337139820480377</v>
      </c>
      <c r="Y14" s="7">
        <f>$B14 * IFERROR(VLOOKUP("transport|SO2|Minor restricted activity days", US_national_yearly!$D:$AM, 33, FALSE) / VLOOKUP("transport|SO2|Minor restricted activity days", US_national_yearly!$D:$AM, 10, FALSE), 1)</f>
        <v>2.6515752764218701</v>
      </c>
      <c r="Z14" s="7">
        <f>$B14 * IFERROR(VLOOKUP("transport|SO2|Minor restricted activity days", US_national_yearly!$D:$AM, 34, FALSE) / VLOOKUP("transport|SO2|Minor restricted activity days", US_national_yearly!$D:$AM, 10, FALSE), 1)</f>
        <v>2.6694365707957033</v>
      </c>
      <c r="AA14" s="7">
        <f>$B14 * IFERROR(VLOOKUP("transport|SO2|Minor restricted activity days", US_national_yearly!$D:$AM, 35, FALSE) / VLOOKUP("transport|SO2|Minor restricted activity days", US_national_yearly!$D:$AM, 10, FALSE), 1)</f>
        <v>2.6872978651695356</v>
      </c>
      <c r="AB14" s="7">
        <f>$B14 * IFERROR(VLOOKUP("transport|SO2|Minor restricted activity days", US_national_yearly!$D:$AM, 36, FALSE) / VLOOKUP("transport|SO2|Minor restricted activity days", US_national_yearly!$D:$AM, 10, FALSE), 1)</f>
        <v>2.7051591595433684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0.38993388655043693</v>
      </c>
      <c r="C15" s="7">
        <f>$B15 * IFERROR(VLOOKUP("transport|SO2|Work loss days", US_national_yearly!$D:$AM, 11, FALSE) / VLOOKUP("transport|SO2|Work loss days", US_national_yearly!$D:$AM, 10, FALSE), 1)</f>
        <v>0.39119721036835098</v>
      </c>
      <c r="D15" s="7">
        <f>$B15 * IFERROR(VLOOKUP("transport|SO2|Work loss days", US_national_yearly!$D:$AM, 12, FALSE) / VLOOKUP("transport|SO2|Work loss days", US_national_yearly!$D:$AM, 10, FALSE), 1)</f>
        <v>0.39246053418626509</v>
      </c>
      <c r="E15" s="7">
        <f>$B15 * IFERROR(VLOOKUP("transport|SO2|Work loss days", US_national_yearly!$D:$AM, 13, FALSE) / VLOOKUP("transport|SO2|Work loss days", US_national_yearly!$D:$AM, 10, FALSE), 1)</f>
        <v>0.39372385800417914</v>
      </c>
      <c r="F15" s="7">
        <f>$B15 * IFERROR(VLOOKUP("transport|SO2|Work loss days", US_national_yearly!$D:$AM, 14, FALSE) / VLOOKUP("transport|SO2|Work loss days", US_national_yearly!$D:$AM, 10, FALSE), 1)</f>
        <v>0.39498718182209325</v>
      </c>
      <c r="G15" s="7">
        <f>$B15 * IFERROR(VLOOKUP("transport|SO2|Work loss days", US_national_yearly!$D:$AM, 15, FALSE) / VLOOKUP("transport|SO2|Work loss days", US_national_yearly!$D:$AM, 10, FALSE), 1)</f>
        <v>0.39663786896774705</v>
      </c>
      <c r="H15" s="7">
        <f>$B15 * IFERROR(VLOOKUP("transport|SO2|Work loss days", US_national_yearly!$D:$AM, 16, FALSE) / VLOOKUP("transport|SO2|Work loss days", US_national_yearly!$D:$AM, 10, FALSE), 1)</f>
        <v>0.39828855611340075</v>
      </c>
      <c r="I15" s="7">
        <f>$B15 * IFERROR(VLOOKUP("transport|SO2|Work loss days", US_national_yearly!$D:$AM, 17, FALSE) / VLOOKUP("transport|SO2|Work loss days", US_national_yearly!$D:$AM, 10, FALSE), 1)</f>
        <v>0.40070328981872932</v>
      </c>
      <c r="J15" s="7">
        <f>$B15 * IFERROR(VLOOKUP("transport|SO2|Work loss days", US_national_yearly!$D:$AM, 18, FALSE) / VLOOKUP("transport|SO2|Work loss days", US_national_yearly!$D:$AM, 10, FALSE), 1)</f>
        <v>0.40311802352405779</v>
      </c>
      <c r="K15" s="7">
        <f>$B15 * IFERROR(VLOOKUP("transport|SO2|Work loss days", US_national_yearly!$D:$AM, 19, FALSE) / VLOOKUP("transport|SO2|Work loss days", US_national_yearly!$D:$AM, 10, FALSE), 1)</f>
        <v>0.40553275722938636</v>
      </c>
      <c r="L15" s="7">
        <f>$B15 * IFERROR(VLOOKUP("transport|SO2|Work loss days", US_national_yearly!$D:$AM, 20, FALSE) / VLOOKUP("transport|SO2|Work loss days", US_national_yearly!$D:$AM, 10, FALSE), 1)</f>
        <v>0.40794749093471494</v>
      </c>
      <c r="M15" s="7">
        <f>$B15 * IFERROR(VLOOKUP("transport|SO2|Work loss days", US_national_yearly!$D:$AM, 21, FALSE) / VLOOKUP("transport|SO2|Work loss days", US_national_yearly!$D:$AM, 10, FALSE), 1)</f>
        <v>0.41036222464004352</v>
      </c>
      <c r="N15" s="7">
        <f>$B15 * IFERROR(VLOOKUP("transport|SO2|Work loss days", US_national_yearly!$D:$AM, 22, FALSE) / VLOOKUP("transport|SO2|Work loss days", US_national_yearly!$D:$AM, 10, FALSE), 1)</f>
        <v>0.41338990939753245</v>
      </c>
      <c r="O15" s="7">
        <f>$B15 * IFERROR(VLOOKUP("transport|SO2|Work loss days", US_national_yearly!$D:$AM, 23, FALSE) / VLOOKUP("transport|SO2|Work loss days", US_national_yearly!$D:$AM, 10, FALSE), 1)</f>
        <v>0.41641759415502144</v>
      </c>
      <c r="P15" s="7">
        <f>$B15 * IFERROR(VLOOKUP("transport|SO2|Work loss days", US_national_yearly!$D:$AM, 24, FALSE) / VLOOKUP("transport|SO2|Work loss days", US_national_yearly!$D:$AM, 10, FALSE), 1)</f>
        <v>0.41944527891251038</v>
      </c>
      <c r="Q15" s="7">
        <f>$B15 * IFERROR(VLOOKUP("transport|SO2|Work loss days", US_national_yearly!$D:$AM, 25, FALSE) / VLOOKUP("transport|SO2|Work loss days", US_national_yearly!$D:$AM, 10, FALSE), 1)</f>
        <v>0.42247296366999931</v>
      </c>
      <c r="R15" s="7">
        <f>$B15 * IFERROR(VLOOKUP("transport|SO2|Work loss days", US_national_yearly!$D:$AM, 26, FALSE) / VLOOKUP("transport|SO2|Work loss days", US_national_yearly!$D:$AM, 10, FALSE), 1)</f>
        <v>0.4255006484274883</v>
      </c>
      <c r="S15" s="7">
        <f>$B15 * IFERROR(VLOOKUP("transport|SO2|Work loss days", US_national_yearly!$D:$AM, 27, FALSE) / VLOOKUP("transport|SO2|Work loss days", US_national_yearly!$D:$AM, 10, FALSE), 1)</f>
        <v>0.42888407616183311</v>
      </c>
      <c r="T15" s="7">
        <f>$B15 * IFERROR(VLOOKUP("transport|SO2|Work loss days", US_national_yearly!$D:$AM, 28, FALSE) / VLOOKUP("transport|SO2|Work loss days", US_national_yearly!$D:$AM, 10, FALSE), 1)</f>
        <v>0.43226750389617796</v>
      </c>
      <c r="U15" s="7">
        <f>$B15 * IFERROR(VLOOKUP("transport|SO2|Work loss days", US_national_yearly!$D:$AM, 29, FALSE) / VLOOKUP("transport|SO2|Work loss days", US_national_yearly!$D:$AM, 10, FALSE), 1)</f>
        <v>0.43565093163052271</v>
      </c>
      <c r="V15" s="7">
        <f>$B15 * IFERROR(VLOOKUP("transport|SO2|Work loss days", US_national_yearly!$D:$AM, 30, FALSE) / VLOOKUP("transport|SO2|Work loss days", US_national_yearly!$D:$AM, 10, FALSE), 1)</f>
        <v>0.43903435936486745</v>
      </c>
      <c r="W15" s="7">
        <f>$B15 * IFERROR(VLOOKUP("transport|SO2|Work loss days", US_national_yearly!$D:$AM, 31, FALSE) / VLOOKUP("transport|SO2|Work loss days", US_national_yearly!$D:$AM, 10, FALSE), 1)</f>
        <v>0.44241778709921231</v>
      </c>
      <c r="X15" s="7">
        <f>$B15 * IFERROR(VLOOKUP("transport|SO2|Work loss days", US_national_yearly!$D:$AM, 32, FALSE) / VLOOKUP("transport|SO2|Work loss days", US_national_yearly!$D:$AM, 10, FALSE), 1)</f>
        <v>0.44545563884442668</v>
      </c>
      <c r="Y15" s="7">
        <f>$B15 * IFERROR(VLOOKUP("transport|SO2|Work loss days", US_national_yearly!$D:$AM, 33, FALSE) / VLOOKUP("transport|SO2|Work loss days", US_national_yearly!$D:$AM, 10, FALSE), 1)</f>
        <v>0.44849349058964105</v>
      </c>
      <c r="Z15" s="7">
        <f>$B15 * IFERROR(VLOOKUP("transport|SO2|Work loss days", US_national_yearly!$D:$AM, 34, FALSE) / VLOOKUP("transport|SO2|Work loss days", US_national_yearly!$D:$AM, 10, FALSE), 1)</f>
        <v>0.45153134233485548</v>
      </c>
      <c r="AA15" s="7">
        <f>$B15 * IFERROR(VLOOKUP("transport|SO2|Work loss days", US_national_yearly!$D:$AM, 35, FALSE) / VLOOKUP("transport|SO2|Work loss days", US_national_yearly!$D:$AM, 10, FALSE), 1)</f>
        <v>0.4545691940800699</v>
      </c>
      <c r="AB15" s="7">
        <f>$B15 * IFERROR(VLOOKUP("transport|SO2|Work loss days", US_national_yearly!$D:$AM, 36, FALSE) / VLOOKUP("transport|SO2|Work loss days", US_national_yearly!$D:$AM, 10, FALSE), 1)</f>
        <v>0.45760704582528433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8.6968960784824362E-4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8.9599235199789304E-4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9.2229509614754246E-4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9.4859784029719199E-4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9.7490058444684162E-4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1.0000961123421564E-3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1.0252916402374713E-3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1.0468792907794096E-3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1.0684669413213478E-3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1.0900545918632861E-3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1.1116422424052243E-3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1.1332298929471621E-3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1.1477318766653598E-3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1.1622338603835571E-3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1.1767358441017546E-3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1.1912378278199521E-3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1.2057398115381496E-3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1.2133668224317163E-3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1.220993833325283E-3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1.2286208442188497E-3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1.2362478551124164E-3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1.2438748660059831E-3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1.2489951305485517E-3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1.2541153950911201E-3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1.2592356596336886E-3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1.2643559241762574E-3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1.2694761887188256E-3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1.5587845191316087E-2</v>
      </c>
      <c r="C2" s="7">
        <f>$B2 * IFERROR(VLOOKUP("electricity|PM25|Premature mortality", US_national_yearly!$D:$AM, 11, FALSE) / VLOOKUP("electricity|PM25|Premature mortality", US_national_yearly!$D:$AM, 10, FALSE), 1)</f>
        <v>1.578091994767539E-2</v>
      </c>
      <c r="D2" s="7">
        <f>$B2 * IFERROR(VLOOKUP("electricity|PM25|Premature mortality", US_national_yearly!$D:$AM, 12, FALSE) / VLOOKUP("electricity|PM25|Premature mortality", US_national_yearly!$D:$AM, 10, FALSE), 1)</f>
        <v>1.597399470403469E-2</v>
      </c>
      <c r="E2" s="7">
        <f>$B2 * IFERROR(VLOOKUP("electricity|PM25|Premature mortality", US_national_yearly!$D:$AM, 13, FALSE) / VLOOKUP("electricity|PM25|Premature mortality", US_national_yearly!$D:$AM, 10, FALSE), 1)</f>
        <v>1.6167069460393993E-2</v>
      </c>
      <c r="F2" s="7">
        <f>$B2 * IFERROR(VLOOKUP("electricity|PM25|Premature mortality", US_national_yearly!$D:$AM, 14, FALSE) / VLOOKUP("electricity|PM25|Premature mortality", US_national_yearly!$D:$AM, 10, FALSE), 1)</f>
        <v>1.6360144216753299E-2</v>
      </c>
      <c r="G2" s="7">
        <f>$B2 * IFERROR(VLOOKUP("electricity|PM25|Premature mortality", US_national_yearly!$D:$AM, 15, FALSE) / VLOOKUP("electricity|PM25|Premature mortality", US_national_yearly!$D:$AM, 10, FALSE), 1)</f>
        <v>1.6739353306281922E-2</v>
      </c>
      <c r="H2" s="7">
        <f>$B2 * IFERROR(VLOOKUP("electricity|PM25|Premature mortality", US_national_yearly!$D:$AM, 16, FALSE) / VLOOKUP("electricity|PM25|Premature mortality", US_national_yearly!$D:$AM, 10, FALSE), 1)</f>
        <v>1.7118562395810544E-2</v>
      </c>
      <c r="I2" s="7">
        <f>$B2 * IFERROR(VLOOKUP("electricity|PM25|Premature mortality", US_national_yearly!$D:$AM, 17, FALSE) / VLOOKUP("electricity|PM25|Premature mortality", US_national_yearly!$D:$AM, 10, FALSE), 1)</f>
        <v>1.7373356204208188E-2</v>
      </c>
      <c r="J2" s="7">
        <f>$B2 * IFERROR(VLOOKUP("electricity|PM25|Premature mortality", US_national_yearly!$D:$AM, 18, FALSE) / VLOOKUP("electricity|PM25|Premature mortality", US_national_yearly!$D:$AM, 10, FALSE), 1)</f>
        <v>1.7628150012605835E-2</v>
      </c>
      <c r="K2" s="7">
        <f>$B2 * IFERROR(VLOOKUP("electricity|PM25|Premature mortality", US_national_yearly!$D:$AM, 19, FALSE) / VLOOKUP("electricity|PM25|Premature mortality", US_national_yearly!$D:$AM, 10, FALSE), 1)</f>
        <v>1.7882943821003479E-2</v>
      </c>
      <c r="L2" s="7">
        <f>$B2 * IFERROR(VLOOKUP("electricity|PM25|Premature mortality", US_national_yearly!$D:$AM, 20, FALSE) / VLOOKUP("electricity|PM25|Premature mortality", US_national_yearly!$D:$AM, 10, FALSE), 1)</f>
        <v>1.8137737629401126E-2</v>
      </c>
      <c r="M2" s="7">
        <f>$B2 * IFERROR(VLOOKUP("electricity|PM25|Premature mortality", US_national_yearly!$D:$AM, 21, FALSE) / VLOOKUP("electricity|PM25|Premature mortality", US_national_yearly!$D:$AM, 10, FALSE), 1)</f>
        <v>1.8392531437798773E-2</v>
      </c>
      <c r="N2" s="7">
        <f>$B2 * IFERROR(VLOOKUP("electricity|PM25|Premature mortality", US_national_yearly!$D:$AM, 22, FALSE) / VLOOKUP("electricity|PM25|Premature mortality", US_national_yearly!$D:$AM, 10, FALSE), 1)</f>
        <v>1.8595630949955068E-2</v>
      </c>
      <c r="O2" s="7">
        <f>$B2 * IFERROR(VLOOKUP("electricity|PM25|Premature mortality", US_national_yearly!$D:$AM, 23, FALSE) / VLOOKUP("electricity|PM25|Premature mortality", US_national_yearly!$D:$AM, 10, FALSE), 1)</f>
        <v>1.8798730462111363E-2</v>
      </c>
      <c r="P2" s="7">
        <f>$B2 * IFERROR(VLOOKUP("electricity|PM25|Premature mortality", US_national_yearly!$D:$AM, 24, FALSE) / VLOOKUP("electricity|PM25|Premature mortality", US_national_yearly!$D:$AM, 10, FALSE), 1)</f>
        <v>1.9001829974267661E-2</v>
      </c>
      <c r="Q2" s="7">
        <f>$B2 * IFERROR(VLOOKUP("electricity|PM25|Premature mortality", US_national_yearly!$D:$AM, 25, FALSE) / VLOOKUP("electricity|PM25|Premature mortality", US_national_yearly!$D:$AM, 10, FALSE), 1)</f>
        <v>1.9204929486423956E-2</v>
      </c>
      <c r="R2" s="7">
        <f>$B2 * IFERROR(VLOOKUP("electricity|PM25|Premature mortality", US_national_yearly!$D:$AM, 26, FALSE) / VLOOKUP("electricity|PM25|Premature mortality", US_national_yearly!$D:$AM, 10, FALSE), 1)</f>
        <v>1.9408028998580254E-2</v>
      </c>
      <c r="S2" s="7">
        <f>$B2 * IFERROR(VLOOKUP("electricity|PM25|Premature mortality", US_national_yearly!$D:$AM, 27, FALSE) / VLOOKUP("electricity|PM25|Premature mortality", US_national_yearly!$D:$AM, 10, FALSE), 1)</f>
        <v>1.9524243627998324E-2</v>
      </c>
      <c r="T2" s="7">
        <f>$B2 * IFERROR(VLOOKUP("electricity|PM25|Premature mortality", US_national_yearly!$D:$AM, 28, FALSE) / VLOOKUP("electricity|PM25|Premature mortality", US_national_yearly!$D:$AM, 10, FALSE), 1)</f>
        <v>1.9640458257416386E-2</v>
      </c>
      <c r="U2" s="7">
        <f>$B2 * IFERROR(VLOOKUP("electricity|PM25|Premature mortality", US_national_yearly!$D:$AM, 29, FALSE) / VLOOKUP("electricity|PM25|Premature mortality", US_national_yearly!$D:$AM, 10, FALSE), 1)</f>
        <v>1.9756672886834459E-2</v>
      </c>
      <c r="V2" s="7">
        <f>$B2 * IFERROR(VLOOKUP("electricity|PM25|Premature mortality", US_national_yearly!$D:$AM, 30, FALSE) / VLOOKUP("electricity|PM25|Premature mortality", US_national_yearly!$D:$AM, 10, FALSE), 1)</f>
        <v>1.9872887516252522E-2</v>
      </c>
      <c r="W2" s="7">
        <f>$B2 * IFERROR(VLOOKUP("electricity|PM25|Premature mortality", US_national_yearly!$D:$AM, 31, FALSE) / VLOOKUP("electricity|PM25|Premature mortality", US_national_yearly!$D:$AM, 10, FALSE), 1)</f>
        <v>1.9989102145670592E-2</v>
      </c>
      <c r="X2" s="7">
        <f>$B2 * IFERROR(VLOOKUP("electricity|PM25|Premature mortality", US_national_yearly!$D:$AM, 32, FALSE) / VLOOKUP("electricity|PM25|Premature mortality", US_national_yearly!$D:$AM, 10, FALSE), 1)</f>
        <v>2.0021385818326468E-2</v>
      </c>
      <c r="Y2" s="7">
        <f>$B2 * IFERROR(VLOOKUP("electricity|PM25|Premature mortality", US_national_yearly!$D:$AM, 33, FALSE) / VLOOKUP("electricity|PM25|Premature mortality", US_national_yearly!$D:$AM, 10, FALSE), 1)</f>
        <v>2.0053669490982345E-2</v>
      </c>
      <c r="Z2" s="7">
        <f>$B2 * IFERROR(VLOOKUP("electricity|PM25|Premature mortality", US_national_yearly!$D:$AM, 34, FALSE) / VLOOKUP("electricity|PM25|Premature mortality", US_national_yearly!$D:$AM, 10, FALSE), 1)</f>
        <v>2.0085953163638218E-2</v>
      </c>
      <c r="AA2" s="7">
        <f>$B2 * IFERROR(VLOOKUP("electricity|PM25|Premature mortality", US_national_yearly!$D:$AM, 35, FALSE) / VLOOKUP("electricity|PM25|Premature mortality", US_national_yearly!$D:$AM, 10, FALSE), 1)</f>
        <v>2.0118236836294098E-2</v>
      </c>
      <c r="AB2" s="7">
        <f>$B2 * IFERROR(VLOOKUP("electricity|PM25|Premature mortality", US_national_yearly!$D:$AM, 36, FALSE) / VLOOKUP("electricity|PM25|Premature mortality", US_national_yearly!$D:$AM, 10, FALSE), 1)</f>
        <v>2.0150520508949974E-2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4.1525827198609984E-5</v>
      </c>
      <c r="C3" s="7">
        <f>$B3 * IFERROR(VLOOKUP("electricity|PM25|Infant mortality", US_national_yearly!$D:$AM, 11, FALSE) / VLOOKUP("electricity|PM25|Infant mortality", US_national_yearly!$D:$AM, 10, FALSE), 1)</f>
        <v>4.1164012770827535E-5</v>
      </c>
      <c r="D3" s="7">
        <f>$B3 * IFERROR(VLOOKUP("electricity|PM25|Infant mortality", US_national_yearly!$D:$AM, 12, FALSE) / VLOOKUP("electricity|PM25|Infant mortality", US_national_yearly!$D:$AM, 10, FALSE), 1)</f>
        <v>4.0802198343045093E-5</v>
      </c>
      <c r="E3" s="7">
        <f>$B3 * IFERROR(VLOOKUP("electricity|PM25|Infant mortality", US_national_yearly!$D:$AM, 13, FALSE) / VLOOKUP("electricity|PM25|Infant mortality", US_national_yearly!$D:$AM, 10, FALSE), 1)</f>
        <v>4.0440383915262637E-5</v>
      </c>
      <c r="F3" s="7">
        <f>$B3 * IFERROR(VLOOKUP("electricity|PM25|Infant mortality", US_national_yearly!$D:$AM, 14, FALSE) / VLOOKUP("electricity|PM25|Infant mortality", US_national_yearly!$D:$AM, 10, FALSE), 1)</f>
        <v>4.0078569487480188E-5</v>
      </c>
      <c r="G3" s="7">
        <f>$B3 * IFERROR(VLOOKUP("electricity|PM25|Infant mortality", US_national_yearly!$D:$AM, 15, FALSE) / VLOOKUP("electricity|PM25|Infant mortality", US_national_yearly!$D:$AM, 10, FALSE), 1)</f>
        <v>2.6578858098582989E-5</v>
      </c>
      <c r="H3" s="7">
        <f>$B3 * IFERROR(VLOOKUP("electricity|PM25|Infant mortality", US_national_yearly!$D:$AM, 16, FALSE) / VLOOKUP("electricity|PM25|Infant mortality", US_national_yearly!$D:$AM, 10, FALSE), 1)</f>
        <v>1.3079146709685793E-5</v>
      </c>
      <c r="I3" s="7">
        <f>$B3 * IFERROR(VLOOKUP("electricity|PM25|Infant mortality", US_national_yearly!$D:$AM, 17, FALSE) / VLOOKUP("electricity|PM25|Infant mortality", US_national_yearly!$D:$AM, 10, FALSE), 1)</f>
        <v>1.2986801940732093E-5</v>
      </c>
      <c r="J3" s="7">
        <f>$B3 * IFERROR(VLOOKUP("electricity|PM25|Infant mortality", US_national_yearly!$D:$AM, 18, FALSE) / VLOOKUP("electricity|PM25|Infant mortality", US_national_yearly!$D:$AM, 10, FALSE), 1)</f>
        <v>1.2894457171778399E-5</v>
      </c>
      <c r="K3" s="7">
        <f>$B3 * IFERROR(VLOOKUP("electricity|PM25|Infant mortality", US_national_yearly!$D:$AM, 19, FALSE) / VLOOKUP("electricity|PM25|Infant mortality", US_national_yearly!$D:$AM, 10, FALSE), 1)</f>
        <v>1.2802112402824701E-5</v>
      </c>
      <c r="L3" s="7">
        <f>$B3 * IFERROR(VLOOKUP("electricity|PM25|Infant mortality", US_national_yearly!$D:$AM, 20, FALSE) / VLOOKUP("electricity|PM25|Infant mortality", US_national_yearly!$D:$AM, 10, FALSE), 1)</f>
        <v>1.2709767633871004E-5</v>
      </c>
      <c r="M3" s="7">
        <f>$B3 * IFERROR(VLOOKUP("electricity|PM25|Infant mortality", US_national_yearly!$D:$AM, 21, FALSE) / VLOOKUP("electricity|PM25|Infant mortality", US_national_yearly!$D:$AM, 10, FALSE), 1)</f>
        <v>1.2617422864917307E-5</v>
      </c>
      <c r="N3" s="7">
        <f>$B3 * IFERROR(VLOOKUP("electricity|PM25|Infant mortality", US_national_yearly!$D:$AM, 22, FALSE) / VLOOKUP("electricity|PM25|Infant mortality", US_national_yearly!$D:$AM, 10, FALSE), 1)</f>
        <v>1.2558032918078052E-5</v>
      </c>
      <c r="O3" s="7">
        <f>$B3 * IFERROR(VLOOKUP("electricity|PM25|Infant mortality", US_national_yearly!$D:$AM, 23, FALSE) / VLOOKUP("electricity|PM25|Infant mortality", US_national_yearly!$D:$AM, 10, FALSE), 1)</f>
        <v>1.24986429712388E-5</v>
      </c>
      <c r="P3" s="7">
        <f>$B3 * IFERROR(VLOOKUP("electricity|PM25|Infant mortality", US_national_yearly!$D:$AM, 24, FALSE) / VLOOKUP("electricity|PM25|Infant mortality", US_national_yearly!$D:$AM, 10, FALSE), 1)</f>
        <v>1.2439253024399544E-5</v>
      </c>
      <c r="Q3" s="7">
        <f>$B3 * IFERROR(VLOOKUP("electricity|PM25|Infant mortality", US_national_yearly!$D:$AM, 25, FALSE) / VLOOKUP("electricity|PM25|Infant mortality", US_national_yearly!$D:$AM, 10, FALSE), 1)</f>
        <v>1.237986307756029E-5</v>
      </c>
      <c r="R3" s="7">
        <f>$B3 * IFERROR(VLOOKUP("electricity|PM25|Infant mortality", US_national_yearly!$D:$AM, 26, FALSE) / VLOOKUP("electricity|PM25|Infant mortality", US_national_yearly!$D:$AM, 10, FALSE), 1)</f>
        <v>1.2320473130721034E-5</v>
      </c>
      <c r="S3" s="7">
        <f>$B3 * IFERROR(VLOOKUP("electricity|PM25|Infant mortality", US_national_yearly!$D:$AM, 27, FALSE) / VLOOKUP("electricity|PM25|Infant mortality", US_national_yearly!$D:$AM, 10, FALSE), 1)</f>
        <v>1.2249322647249142E-5</v>
      </c>
      <c r="T3" s="7">
        <f>$B3 * IFERROR(VLOOKUP("electricity|PM25|Infant mortality", US_national_yearly!$D:$AM, 28, FALSE) / VLOOKUP("electricity|PM25|Infant mortality", US_national_yearly!$D:$AM, 10, FALSE), 1)</f>
        <v>1.2178172163777251E-5</v>
      </c>
      <c r="U3" s="7">
        <f>$B3 * IFERROR(VLOOKUP("electricity|PM25|Infant mortality", US_national_yearly!$D:$AM, 29, FALSE) / VLOOKUP("electricity|PM25|Infant mortality", US_national_yearly!$D:$AM, 10, FALSE), 1)</f>
        <v>1.2107021680305362E-5</v>
      </c>
      <c r="V3" s="7">
        <f>$B3 * IFERROR(VLOOKUP("electricity|PM25|Infant mortality", US_national_yearly!$D:$AM, 30, FALSE) / VLOOKUP("electricity|PM25|Infant mortality", US_national_yearly!$D:$AM, 10, FALSE), 1)</f>
        <v>1.2035871196833471E-5</v>
      </c>
      <c r="W3" s="7">
        <f>$B3 * IFERROR(VLOOKUP("electricity|PM25|Infant mortality", US_national_yearly!$D:$AM, 31, FALSE) / VLOOKUP("electricity|PM25|Infant mortality", US_national_yearly!$D:$AM, 10, FALSE), 1)</f>
        <v>1.1964720713361579E-5</v>
      </c>
      <c r="X3" s="7">
        <f>$B3 * IFERROR(VLOOKUP("electricity|PM25|Infant mortality", US_national_yearly!$D:$AM, 32, FALSE) / VLOOKUP("electricity|PM25|Infant mortality", US_national_yearly!$D:$AM, 10, FALSE), 1)</f>
        <v>1.1891195572237294E-5</v>
      </c>
      <c r="Y3" s="7">
        <f>$B3 * IFERROR(VLOOKUP("electricity|PM25|Infant mortality", US_national_yearly!$D:$AM, 33, FALSE) / VLOOKUP("electricity|PM25|Infant mortality", US_national_yearly!$D:$AM, 10, FALSE), 1)</f>
        <v>1.1817670431113009E-5</v>
      </c>
      <c r="Z3" s="7">
        <f>$B3 * IFERROR(VLOOKUP("electricity|PM25|Infant mortality", US_national_yearly!$D:$AM, 34, FALSE) / VLOOKUP("electricity|PM25|Infant mortality", US_national_yearly!$D:$AM, 10, FALSE), 1)</f>
        <v>1.1744145289988724E-5</v>
      </c>
      <c r="AA3" s="7">
        <f>$B3 * IFERROR(VLOOKUP("electricity|PM25|Infant mortality", US_national_yearly!$D:$AM, 35, FALSE) / VLOOKUP("electricity|PM25|Infant mortality", US_national_yearly!$D:$AM, 10, FALSE), 1)</f>
        <v>1.1670620148864439E-5</v>
      </c>
      <c r="AB3" s="7">
        <f>$B3 * IFERROR(VLOOKUP("electricity|PM25|Infant mortality", US_national_yearly!$D:$AM, 36, FALSE) / VLOOKUP("electricity|PM25|Infant mortality", US_national_yearly!$D:$AM, 10, FALSE), 1)</f>
        <v>1.1597095007740156E-5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3.4861600013826259E-2</v>
      </c>
      <c r="C6" s="7">
        <f>$B6 * IFERROR(VLOOKUP("electricity|PM25|Asthma symptoms cough", US_national_yearly!$D:$AM, 11, FALSE) / VLOOKUP("electricity|PM25|Asthma symptoms cough", US_national_yearly!$D:$AM, 10, FALSE), 1)</f>
        <v>3.4861600013826259E-2</v>
      </c>
      <c r="D6" s="7">
        <f>$B6 * IFERROR(VLOOKUP("electricity|PM25|Asthma symptoms cough", US_national_yearly!$D:$AM, 12, FALSE) / VLOOKUP("electricity|PM25|Asthma symptoms cough", US_national_yearly!$D:$AM, 10, FALSE), 1)</f>
        <v>3.4861600013826259E-2</v>
      </c>
      <c r="E6" s="7">
        <f>$B6 * IFERROR(VLOOKUP("electricity|PM25|Asthma symptoms cough", US_national_yearly!$D:$AM, 13, FALSE) / VLOOKUP("electricity|PM25|Asthma symptoms cough", US_national_yearly!$D:$AM, 10, FALSE), 1)</f>
        <v>3.4861600013826259E-2</v>
      </c>
      <c r="F6" s="7">
        <f>$B6 * IFERROR(VLOOKUP("electricity|PM25|Asthma symptoms cough", US_national_yearly!$D:$AM, 14, FALSE) / VLOOKUP("electricity|PM25|Asthma symptoms cough", US_national_yearly!$D:$AM, 10, FALSE), 1)</f>
        <v>3.4861600013826259E-2</v>
      </c>
      <c r="G6" s="7">
        <f>$B6 * IFERROR(VLOOKUP("electricity|PM25|Asthma symptoms cough", US_national_yearly!$D:$AM, 15, FALSE) / VLOOKUP("electricity|PM25|Asthma symptoms cough", US_national_yearly!$D:$AM, 10, FALSE), 1)</f>
        <v>3.4861600013826259E-2</v>
      </c>
      <c r="H6" s="7">
        <f>$B6 * IFERROR(VLOOKUP("electricity|PM25|Asthma symptoms cough", US_national_yearly!$D:$AM, 16, FALSE) / VLOOKUP("electricity|PM25|Asthma symptoms cough", US_national_yearly!$D:$AM, 10, FALSE), 1)</f>
        <v>3.4861600013826259E-2</v>
      </c>
      <c r="I6" s="7">
        <f>$B6 * IFERROR(VLOOKUP("electricity|PM25|Asthma symptoms cough", US_national_yearly!$D:$AM, 17, FALSE) / VLOOKUP("electricity|PM25|Asthma symptoms cough", US_national_yearly!$D:$AM, 10, FALSE), 1)</f>
        <v>3.4861600013826259E-2</v>
      </c>
      <c r="J6" s="7">
        <f>$B6 * IFERROR(VLOOKUP("electricity|PM25|Asthma symptoms cough", US_national_yearly!$D:$AM, 18, FALSE) / VLOOKUP("electricity|PM25|Asthma symptoms cough", US_national_yearly!$D:$AM, 10, FALSE), 1)</f>
        <v>3.4861600013826259E-2</v>
      </c>
      <c r="K6" s="7">
        <f>$B6 * IFERROR(VLOOKUP("electricity|PM25|Asthma symptoms cough", US_national_yearly!$D:$AM, 19, FALSE) / VLOOKUP("electricity|PM25|Asthma symptoms cough", US_national_yearly!$D:$AM, 10, FALSE), 1)</f>
        <v>3.4861600013826259E-2</v>
      </c>
      <c r="L6" s="7">
        <f>$B6 * IFERROR(VLOOKUP("electricity|PM25|Asthma symptoms cough", US_national_yearly!$D:$AM, 20, FALSE) / VLOOKUP("electricity|PM25|Asthma symptoms cough", US_national_yearly!$D:$AM, 10, FALSE), 1)</f>
        <v>3.4861600013826259E-2</v>
      </c>
      <c r="M6" s="7">
        <f>$B6 * IFERROR(VLOOKUP("electricity|PM25|Asthma symptoms cough", US_national_yearly!$D:$AM, 21, FALSE) / VLOOKUP("electricity|PM25|Asthma symptoms cough", US_national_yearly!$D:$AM, 10, FALSE), 1)</f>
        <v>3.4861600013826259E-2</v>
      </c>
      <c r="N6" s="7">
        <f>$B6 * IFERROR(VLOOKUP("electricity|PM25|Asthma symptoms cough", US_national_yearly!$D:$AM, 22, FALSE) / VLOOKUP("electricity|PM25|Asthma symptoms cough", US_national_yearly!$D:$AM, 10, FALSE), 1)</f>
        <v>3.4861600013826259E-2</v>
      </c>
      <c r="O6" s="7">
        <f>$B6 * IFERROR(VLOOKUP("electricity|PM25|Asthma symptoms cough", US_national_yearly!$D:$AM, 23, FALSE) / VLOOKUP("electricity|PM25|Asthma symptoms cough", US_national_yearly!$D:$AM, 10, FALSE), 1)</f>
        <v>3.4861600013826259E-2</v>
      </c>
      <c r="P6" s="7">
        <f>$B6 * IFERROR(VLOOKUP("electricity|PM25|Asthma symptoms cough", US_national_yearly!$D:$AM, 24, FALSE) / VLOOKUP("electricity|PM25|Asthma symptoms cough", US_national_yearly!$D:$AM, 10, FALSE), 1)</f>
        <v>3.4861600013826259E-2</v>
      </c>
      <c r="Q6" s="7">
        <f>$B6 * IFERROR(VLOOKUP("electricity|PM25|Asthma symptoms cough", US_national_yearly!$D:$AM, 25, FALSE) / VLOOKUP("electricity|PM25|Asthma symptoms cough", US_national_yearly!$D:$AM, 10, FALSE), 1)</f>
        <v>3.4861600013826259E-2</v>
      </c>
      <c r="R6" s="7">
        <f>$B6 * IFERROR(VLOOKUP("electricity|PM25|Asthma symptoms cough", US_national_yearly!$D:$AM, 26, FALSE) / VLOOKUP("electricity|PM25|Asthma symptoms cough", US_national_yearly!$D:$AM, 10, FALSE), 1)</f>
        <v>3.4861600013826259E-2</v>
      </c>
      <c r="S6" s="7">
        <f>$B6 * IFERROR(VLOOKUP("electricity|PM25|Asthma symptoms cough", US_national_yearly!$D:$AM, 27, FALSE) / VLOOKUP("electricity|PM25|Asthma symptoms cough", US_national_yearly!$D:$AM, 10, FALSE), 1)</f>
        <v>3.4861600013826259E-2</v>
      </c>
      <c r="T6" s="7">
        <f>$B6 * IFERROR(VLOOKUP("electricity|PM25|Asthma symptoms cough", US_national_yearly!$D:$AM, 28, FALSE) / VLOOKUP("electricity|PM25|Asthma symptoms cough", US_national_yearly!$D:$AM, 10, FALSE), 1)</f>
        <v>3.4861600013826259E-2</v>
      </c>
      <c r="U6" s="7">
        <f>$B6 * IFERROR(VLOOKUP("electricity|PM25|Asthma symptoms cough", US_national_yearly!$D:$AM, 29, FALSE) / VLOOKUP("electricity|PM25|Asthma symptoms cough", US_national_yearly!$D:$AM, 10, FALSE), 1)</f>
        <v>3.4861600013826259E-2</v>
      </c>
      <c r="V6" s="7">
        <f>$B6 * IFERROR(VLOOKUP("electricity|PM25|Asthma symptoms cough", US_national_yearly!$D:$AM, 30, FALSE) / VLOOKUP("electricity|PM25|Asthma symptoms cough", US_national_yearly!$D:$AM, 10, FALSE), 1)</f>
        <v>3.4861600013826259E-2</v>
      </c>
      <c r="W6" s="7">
        <f>$B6 * IFERROR(VLOOKUP("electricity|PM25|Asthma symptoms cough", US_national_yearly!$D:$AM, 31, FALSE) / VLOOKUP("electricity|PM25|Asthma symptoms cough", US_national_yearly!$D:$AM, 10, FALSE), 1)</f>
        <v>3.4861600013826259E-2</v>
      </c>
      <c r="X6" s="7">
        <f>$B6 * IFERROR(VLOOKUP("electricity|PM25|Asthma symptoms cough", US_national_yearly!$D:$AM, 32, FALSE) / VLOOKUP("electricity|PM25|Asthma symptoms cough", US_national_yearly!$D:$AM, 10, FALSE), 1)</f>
        <v>3.4861600013826259E-2</v>
      </c>
      <c r="Y6" s="7">
        <f>$B6 * IFERROR(VLOOKUP("electricity|PM25|Asthma symptoms cough", US_national_yearly!$D:$AM, 33, FALSE) / VLOOKUP("electricity|PM25|Asthma symptoms cough", US_national_yearly!$D:$AM, 10, FALSE), 1)</f>
        <v>3.4861600013826259E-2</v>
      </c>
      <c r="Z6" s="7">
        <f>$B6 * IFERROR(VLOOKUP("electricity|PM25|Asthma symptoms cough", US_national_yearly!$D:$AM, 34, FALSE) / VLOOKUP("electricity|PM25|Asthma symptoms cough", US_national_yearly!$D:$AM, 10, FALSE), 1)</f>
        <v>3.4861600013826259E-2</v>
      </c>
      <c r="AA6" s="7">
        <f>$B6 * IFERROR(VLOOKUP("electricity|PM25|Asthma symptoms cough", US_national_yearly!$D:$AM, 35, FALSE) / VLOOKUP("electricity|PM25|Asthma symptoms cough", US_national_yearly!$D:$AM, 10, FALSE), 1)</f>
        <v>3.4861600013826259E-2</v>
      </c>
      <c r="AB6" s="7">
        <f>$B6 * IFERROR(VLOOKUP("electricity|PM25|Asthma symptoms cough", US_national_yearly!$D:$AM, 36, FALSE) / VLOOKUP("electricity|PM25|Asthma symptoms cough", US_national_yearly!$D:$AM, 10, FALSE), 1)</f>
        <v>3.4861600013826259E-2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4.6944840885592705E-2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4.6944840885592705E-2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4.6944840885592705E-2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4.6944840885592705E-2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4.6944840885592705E-2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4.6944840885592705E-2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4.6944840885592705E-2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4.6944840885592705E-2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4.6944840885592705E-2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4.6944840885592705E-2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4.6944840885592705E-2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4.6944840885592705E-2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4.6944840885592705E-2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4.6944840885592705E-2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4.6944840885592705E-2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4.6944840885592705E-2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4.6944840885592705E-2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4.6944840885592705E-2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4.6944840885592705E-2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4.6944840885592705E-2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4.6944840885592705E-2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4.6944840885592705E-2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4.6944840885592705E-2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4.6944840885592705E-2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4.6944840885592705E-2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4.6944840885592705E-2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4.6944840885592705E-2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7.1728616764511352E-2</v>
      </c>
      <c r="C8" s="7">
        <f>$B8 * IFERROR(VLOOKUP("electricity|PM25|Asthma symptoms wheeze", US_national_yearly!$D:$AM, 11, FALSE) / VLOOKUP("electricity|PM25|Asthma symptoms wheeze", US_national_yearly!$D:$AM, 10, FALSE), 1)</f>
        <v>7.1728616764511352E-2</v>
      </c>
      <c r="D8" s="7">
        <f>$B8 * IFERROR(VLOOKUP("electricity|PM25|Asthma symptoms wheeze", US_national_yearly!$D:$AM, 12, FALSE) / VLOOKUP("electricity|PM25|Asthma symptoms wheeze", US_national_yearly!$D:$AM, 10, FALSE), 1)</f>
        <v>7.1728616764511352E-2</v>
      </c>
      <c r="E8" s="7">
        <f>$B8 * IFERROR(VLOOKUP("electricity|PM25|Asthma symptoms wheeze", US_national_yearly!$D:$AM, 13, FALSE) / VLOOKUP("electricity|PM25|Asthma symptoms wheeze", US_national_yearly!$D:$AM, 10, FALSE), 1)</f>
        <v>7.1728616764511352E-2</v>
      </c>
      <c r="F8" s="7">
        <f>$B8 * IFERROR(VLOOKUP("electricity|PM25|Asthma symptoms wheeze", US_national_yearly!$D:$AM, 14, FALSE) / VLOOKUP("electricity|PM25|Asthma symptoms wheeze", US_national_yearly!$D:$AM, 10, FALSE), 1)</f>
        <v>7.1728616764511352E-2</v>
      </c>
      <c r="G8" s="7">
        <f>$B8 * IFERROR(VLOOKUP("electricity|PM25|Asthma symptoms wheeze", US_national_yearly!$D:$AM, 15, FALSE) / VLOOKUP("electricity|PM25|Asthma symptoms wheeze", US_national_yearly!$D:$AM, 10, FALSE), 1)</f>
        <v>7.1728616764511352E-2</v>
      </c>
      <c r="H8" s="7">
        <f>$B8 * IFERROR(VLOOKUP("electricity|PM25|Asthma symptoms wheeze", US_national_yearly!$D:$AM, 16, FALSE) / VLOOKUP("electricity|PM25|Asthma symptoms wheeze", US_national_yearly!$D:$AM, 10, FALSE), 1)</f>
        <v>7.1728616764511352E-2</v>
      </c>
      <c r="I8" s="7">
        <f>$B8 * IFERROR(VLOOKUP("electricity|PM25|Asthma symptoms wheeze", US_national_yearly!$D:$AM, 17, FALSE) / VLOOKUP("electricity|PM25|Asthma symptoms wheeze", US_national_yearly!$D:$AM, 10, FALSE), 1)</f>
        <v>7.1728616764511352E-2</v>
      </c>
      <c r="J8" s="7">
        <f>$B8 * IFERROR(VLOOKUP("electricity|PM25|Asthma symptoms wheeze", US_national_yearly!$D:$AM, 18, FALSE) / VLOOKUP("electricity|PM25|Asthma symptoms wheeze", US_national_yearly!$D:$AM, 10, FALSE), 1)</f>
        <v>7.1728616764511352E-2</v>
      </c>
      <c r="K8" s="7">
        <f>$B8 * IFERROR(VLOOKUP("electricity|PM25|Asthma symptoms wheeze", US_national_yearly!$D:$AM, 19, FALSE) / VLOOKUP("electricity|PM25|Asthma symptoms wheeze", US_national_yearly!$D:$AM, 10, FALSE), 1)</f>
        <v>7.1728616764511352E-2</v>
      </c>
      <c r="L8" s="7">
        <f>$B8 * IFERROR(VLOOKUP("electricity|PM25|Asthma symptoms wheeze", US_national_yearly!$D:$AM, 20, FALSE) / VLOOKUP("electricity|PM25|Asthma symptoms wheeze", US_national_yearly!$D:$AM, 10, FALSE), 1)</f>
        <v>7.1728616764511352E-2</v>
      </c>
      <c r="M8" s="7">
        <f>$B8 * IFERROR(VLOOKUP("electricity|PM25|Asthma symptoms wheeze", US_national_yearly!$D:$AM, 21, FALSE) / VLOOKUP("electricity|PM25|Asthma symptoms wheeze", US_national_yearly!$D:$AM, 10, FALSE), 1)</f>
        <v>7.1728616764511352E-2</v>
      </c>
      <c r="N8" s="7">
        <f>$B8 * IFERROR(VLOOKUP("electricity|PM25|Asthma symptoms wheeze", US_national_yearly!$D:$AM, 22, FALSE) / VLOOKUP("electricity|PM25|Asthma symptoms wheeze", US_national_yearly!$D:$AM, 10, FALSE), 1)</f>
        <v>7.1728616764511352E-2</v>
      </c>
      <c r="O8" s="7">
        <f>$B8 * IFERROR(VLOOKUP("electricity|PM25|Asthma symptoms wheeze", US_national_yearly!$D:$AM, 23, FALSE) / VLOOKUP("electricity|PM25|Asthma symptoms wheeze", US_national_yearly!$D:$AM, 10, FALSE), 1)</f>
        <v>7.1728616764511352E-2</v>
      </c>
      <c r="P8" s="7">
        <f>$B8 * IFERROR(VLOOKUP("electricity|PM25|Asthma symptoms wheeze", US_national_yearly!$D:$AM, 24, FALSE) / VLOOKUP("electricity|PM25|Asthma symptoms wheeze", US_national_yearly!$D:$AM, 10, FALSE), 1)</f>
        <v>7.1728616764511352E-2</v>
      </c>
      <c r="Q8" s="7">
        <f>$B8 * IFERROR(VLOOKUP("electricity|PM25|Asthma symptoms wheeze", US_national_yearly!$D:$AM, 25, FALSE) / VLOOKUP("electricity|PM25|Asthma symptoms wheeze", US_national_yearly!$D:$AM, 10, FALSE), 1)</f>
        <v>7.1728616764511352E-2</v>
      </c>
      <c r="R8" s="7">
        <f>$B8 * IFERROR(VLOOKUP("electricity|PM25|Asthma symptoms wheeze", US_national_yearly!$D:$AM, 26, FALSE) / VLOOKUP("electricity|PM25|Asthma symptoms wheeze", US_national_yearly!$D:$AM, 10, FALSE), 1)</f>
        <v>7.1728616764511352E-2</v>
      </c>
      <c r="S8" s="7">
        <f>$B8 * IFERROR(VLOOKUP("electricity|PM25|Asthma symptoms wheeze", US_national_yearly!$D:$AM, 27, FALSE) / VLOOKUP("electricity|PM25|Asthma symptoms wheeze", US_national_yearly!$D:$AM, 10, FALSE), 1)</f>
        <v>7.1728616764511352E-2</v>
      </c>
      <c r="T8" s="7">
        <f>$B8 * IFERROR(VLOOKUP("electricity|PM25|Asthma symptoms wheeze", US_national_yearly!$D:$AM, 28, FALSE) / VLOOKUP("electricity|PM25|Asthma symptoms wheeze", US_national_yearly!$D:$AM, 10, FALSE), 1)</f>
        <v>7.1728616764511352E-2</v>
      </c>
      <c r="U8" s="7">
        <f>$B8 * IFERROR(VLOOKUP("electricity|PM25|Asthma symptoms wheeze", US_national_yearly!$D:$AM, 29, FALSE) / VLOOKUP("electricity|PM25|Asthma symptoms wheeze", US_national_yearly!$D:$AM, 10, FALSE), 1)</f>
        <v>7.1728616764511352E-2</v>
      </c>
      <c r="V8" s="7">
        <f>$B8 * IFERROR(VLOOKUP("electricity|PM25|Asthma symptoms wheeze", US_national_yearly!$D:$AM, 30, FALSE) / VLOOKUP("electricity|PM25|Asthma symptoms wheeze", US_national_yearly!$D:$AM, 10, FALSE), 1)</f>
        <v>7.1728616764511352E-2</v>
      </c>
      <c r="W8" s="7">
        <f>$B8 * IFERROR(VLOOKUP("electricity|PM25|Asthma symptoms wheeze", US_national_yearly!$D:$AM, 31, FALSE) / VLOOKUP("electricity|PM25|Asthma symptoms wheeze", US_national_yearly!$D:$AM, 10, FALSE), 1)</f>
        <v>7.1728616764511352E-2</v>
      </c>
      <c r="X8" s="7">
        <f>$B8 * IFERROR(VLOOKUP("electricity|PM25|Asthma symptoms wheeze", US_national_yearly!$D:$AM, 32, FALSE) / VLOOKUP("electricity|PM25|Asthma symptoms wheeze", US_national_yearly!$D:$AM, 10, FALSE), 1)</f>
        <v>7.1728616764511352E-2</v>
      </c>
      <c r="Y8" s="7">
        <f>$B8 * IFERROR(VLOOKUP("electricity|PM25|Asthma symptoms wheeze", US_national_yearly!$D:$AM, 33, FALSE) / VLOOKUP("electricity|PM25|Asthma symptoms wheeze", US_national_yearly!$D:$AM, 10, FALSE), 1)</f>
        <v>7.1728616764511352E-2</v>
      </c>
      <c r="Z8" s="7">
        <f>$B8 * IFERROR(VLOOKUP("electricity|PM25|Asthma symptoms wheeze", US_national_yearly!$D:$AM, 34, FALSE) / VLOOKUP("electricity|PM25|Asthma symptoms wheeze", US_national_yearly!$D:$AM, 10, FALSE), 1)</f>
        <v>7.1728616764511352E-2</v>
      </c>
      <c r="AA8" s="7">
        <f>$B8 * IFERROR(VLOOKUP("electricity|PM25|Asthma symptoms wheeze", US_national_yearly!$D:$AM, 35, FALSE) / VLOOKUP("electricity|PM25|Asthma symptoms wheeze", US_national_yearly!$D:$AM, 10, FALSE), 1)</f>
        <v>7.1728616764511352E-2</v>
      </c>
      <c r="AB8" s="7">
        <f>$B8 * IFERROR(VLOOKUP("electricity|PM25|Asthma symptoms wheeze", US_national_yearly!$D:$AM, 36, FALSE) / VLOOKUP("electricity|PM25|Asthma symptoms wheeze", US_national_yearly!$D:$AM, 10, FALSE), 1)</f>
        <v>7.1728616764511352E-2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1.0938412137116678E-3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1.0998528318563057E-3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1.1058644500009434E-3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1.1118760681455815E-3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1.1178876862902192E-3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1.1243319931713675E-3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1.1307763000525158E-3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1.1365336299073857E-3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1.1422909597622554E-3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1.148048289617125E-3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1.1538056194719947E-3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1.1595629493268646E-3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1.1634464727528987E-3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1.1673299961789333E-3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1.1712135196049679E-3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1.1750970430310023E-3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1.1789805664570369E-3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1.182599467172186E-3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1.1862183678873345E-3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1.1898372686024834E-3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1.193456169317632E-3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1.1970750700327805E-3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1.2006534736728929E-3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1.2042318773130048E-3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1.2078102809531168E-3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1.211388684593229E-3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1.2149670882333412E-3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6.4602269512702816E-3</v>
      </c>
      <c r="C13" s="7">
        <f>$B13 * IFERROR(VLOOKUP("electricity|PM25|Non-fatal heart attacks", US_national_yearly!$D:$AM, 11, FALSE) / VLOOKUP("electricity|PM25|Non-fatal heart attacks", US_national_yearly!$D:$AM, 10, FALSE), 1)</f>
        <v>6.6473462738463147E-3</v>
      </c>
      <c r="D13" s="7">
        <f>$B13 * IFERROR(VLOOKUP("electricity|PM25|Non-fatal heart attacks", US_national_yearly!$D:$AM, 12, FALSE) / VLOOKUP("electricity|PM25|Non-fatal heart attacks", US_national_yearly!$D:$AM, 10, FALSE), 1)</f>
        <v>6.8344655964223478E-3</v>
      </c>
      <c r="E13" s="7">
        <f>$B13 * IFERROR(VLOOKUP("electricity|PM25|Non-fatal heart attacks", US_national_yearly!$D:$AM, 13, FALSE) / VLOOKUP("electricity|PM25|Non-fatal heart attacks", US_national_yearly!$D:$AM, 10, FALSE), 1)</f>
        <v>7.02158491899838E-3</v>
      </c>
      <c r="F13" s="7">
        <f>$B13 * IFERROR(VLOOKUP("electricity|PM25|Non-fatal heart attacks", US_national_yearly!$D:$AM, 14, FALSE) / VLOOKUP("electricity|PM25|Non-fatal heart attacks", US_national_yearly!$D:$AM, 10, FALSE), 1)</f>
        <v>7.2087042415744131E-3</v>
      </c>
      <c r="G13" s="7">
        <f>$B13 * IFERROR(VLOOKUP("electricity|PM25|Non-fatal heart attacks", US_national_yearly!$D:$AM, 15, FALSE) / VLOOKUP("electricity|PM25|Non-fatal heart attacks", US_national_yearly!$D:$AM, 10, FALSE), 1)</f>
        <v>7.3863117268448703E-3</v>
      </c>
      <c r="H13" s="7">
        <f>$B13 * IFERROR(VLOOKUP("electricity|PM25|Non-fatal heart attacks", US_national_yearly!$D:$AM, 16, FALSE) / VLOOKUP("electricity|PM25|Non-fatal heart attacks", US_national_yearly!$D:$AM, 10, FALSE), 1)</f>
        <v>7.5639192121153258E-3</v>
      </c>
      <c r="I13" s="7">
        <f>$B13 * IFERROR(VLOOKUP("electricity|PM25|Non-fatal heart attacks", US_national_yearly!$D:$AM, 17, FALSE) / VLOOKUP("electricity|PM25|Non-fatal heart attacks", US_national_yearly!$D:$AM, 10, FALSE), 1)</f>
        <v>7.7088259525393762E-3</v>
      </c>
      <c r="J13" s="7">
        <f>$B13 * IFERROR(VLOOKUP("electricity|PM25|Non-fatal heart attacks", US_national_yearly!$D:$AM, 18, FALSE) / VLOOKUP("electricity|PM25|Non-fatal heart attacks", US_national_yearly!$D:$AM, 10, FALSE), 1)</f>
        <v>7.8537326929634266E-3</v>
      </c>
      <c r="K13" s="7">
        <f>$B13 * IFERROR(VLOOKUP("electricity|PM25|Non-fatal heart attacks", US_national_yearly!$D:$AM, 19, FALSE) / VLOOKUP("electricity|PM25|Non-fatal heart attacks", US_national_yearly!$D:$AM, 10, FALSE), 1)</f>
        <v>7.9986394333874753E-3</v>
      </c>
      <c r="L13" s="7">
        <f>$B13 * IFERROR(VLOOKUP("electricity|PM25|Non-fatal heart attacks", US_national_yearly!$D:$AM, 20, FALSE) / VLOOKUP("electricity|PM25|Non-fatal heart attacks", US_national_yearly!$D:$AM, 10, FALSE), 1)</f>
        <v>8.1435461738115257E-3</v>
      </c>
      <c r="M13" s="7">
        <f>$B13 * IFERROR(VLOOKUP("electricity|PM25|Non-fatal heart attacks", US_national_yearly!$D:$AM, 21, FALSE) / VLOOKUP("electricity|PM25|Non-fatal heart attacks", US_national_yearly!$D:$AM, 10, FALSE), 1)</f>
        <v>8.2884529142355761E-3</v>
      </c>
      <c r="N13" s="7">
        <f>$B13 * IFERROR(VLOOKUP("electricity|PM25|Non-fatal heart attacks", US_national_yearly!$D:$AM, 22, FALSE) / VLOOKUP("electricity|PM25|Non-fatal heart attacks", US_national_yearly!$D:$AM, 10, FALSE), 1)</f>
        <v>8.382478682349025E-3</v>
      </c>
      <c r="O13" s="7">
        <f>$B13 * IFERROR(VLOOKUP("electricity|PM25|Non-fatal heart attacks", US_national_yearly!$D:$AM, 23, FALSE) / VLOOKUP("electricity|PM25|Non-fatal heart attacks", US_national_yearly!$D:$AM, 10, FALSE), 1)</f>
        <v>8.4765044504624722E-3</v>
      </c>
      <c r="P13" s="7">
        <f>$B13 * IFERROR(VLOOKUP("electricity|PM25|Non-fatal heart attacks", US_national_yearly!$D:$AM, 24, FALSE) / VLOOKUP("electricity|PM25|Non-fatal heart attacks", US_national_yearly!$D:$AM, 10, FALSE), 1)</f>
        <v>8.5705302185759193E-3</v>
      </c>
      <c r="Q13" s="7">
        <f>$B13 * IFERROR(VLOOKUP("electricity|PM25|Non-fatal heart attacks", US_national_yearly!$D:$AM, 25, FALSE) / VLOOKUP("electricity|PM25|Non-fatal heart attacks", US_national_yearly!$D:$AM, 10, FALSE), 1)</f>
        <v>8.6645559866893665E-3</v>
      </c>
      <c r="R13" s="7">
        <f>$B13 * IFERROR(VLOOKUP("electricity|PM25|Non-fatal heart attacks", US_national_yearly!$D:$AM, 26, FALSE) / VLOOKUP("electricity|PM25|Non-fatal heart attacks", US_national_yearly!$D:$AM, 10, FALSE), 1)</f>
        <v>8.7585817548028137E-3</v>
      </c>
      <c r="S13" s="7">
        <f>$B13 * IFERROR(VLOOKUP("electricity|PM25|Non-fatal heart attacks", US_national_yearly!$D:$AM, 27, FALSE) / VLOOKUP("electricity|PM25|Non-fatal heart attacks", US_national_yearly!$D:$AM, 10, FALSE), 1)</f>
        <v>8.8103453556901325E-3</v>
      </c>
      <c r="T13" s="7">
        <f>$B13 * IFERROR(VLOOKUP("electricity|PM25|Non-fatal heart attacks", US_national_yearly!$D:$AM, 28, FALSE) / VLOOKUP("electricity|PM25|Non-fatal heart attacks", US_national_yearly!$D:$AM, 10, FALSE), 1)</f>
        <v>8.8621089565774532E-3</v>
      </c>
      <c r="U13" s="7">
        <f>$B13 * IFERROR(VLOOKUP("electricity|PM25|Non-fatal heart attacks", US_national_yearly!$D:$AM, 29, FALSE) / VLOOKUP("electricity|PM25|Non-fatal heart attacks", US_national_yearly!$D:$AM, 10, FALSE), 1)</f>
        <v>8.913872557464772E-3</v>
      </c>
      <c r="V13" s="7">
        <f>$B13 * IFERROR(VLOOKUP("electricity|PM25|Non-fatal heart attacks", US_national_yearly!$D:$AM, 30, FALSE) / VLOOKUP("electricity|PM25|Non-fatal heart attacks", US_national_yearly!$D:$AM, 10, FALSE), 1)</f>
        <v>8.9656361583520909E-3</v>
      </c>
      <c r="W13" s="7">
        <f>$B13 * IFERROR(VLOOKUP("electricity|PM25|Non-fatal heart attacks", US_national_yearly!$D:$AM, 31, FALSE) / VLOOKUP("electricity|PM25|Non-fatal heart attacks", US_national_yearly!$D:$AM, 10, FALSE), 1)</f>
        <v>9.0173997592394115E-3</v>
      </c>
      <c r="X13" s="7">
        <f>$B13 * IFERROR(VLOOKUP("electricity|PM25|Non-fatal heart attacks", US_national_yearly!$D:$AM, 32, FALSE) / VLOOKUP("electricity|PM25|Non-fatal heart attacks", US_national_yearly!$D:$AM, 10, FALSE), 1)</f>
        <v>9.0578952413318346E-3</v>
      </c>
      <c r="Y13" s="7">
        <f>$B13 * IFERROR(VLOOKUP("electricity|PM25|Non-fatal heart attacks", US_national_yearly!$D:$AM, 33, FALSE) / VLOOKUP("electricity|PM25|Non-fatal heart attacks", US_national_yearly!$D:$AM, 10, FALSE), 1)</f>
        <v>9.0983907234242593E-3</v>
      </c>
      <c r="Z13" s="7">
        <f>$B13 * IFERROR(VLOOKUP("electricity|PM25|Non-fatal heart attacks", US_national_yearly!$D:$AM, 34, FALSE) / VLOOKUP("electricity|PM25|Non-fatal heart attacks", US_national_yearly!$D:$AM, 10, FALSE), 1)</f>
        <v>9.1388862055166806E-3</v>
      </c>
      <c r="AA13" s="7">
        <f>$B13 * IFERROR(VLOOKUP("electricity|PM25|Non-fatal heart attacks", US_national_yearly!$D:$AM, 35, FALSE) / VLOOKUP("electricity|PM25|Non-fatal heart attacks", US_national_yearly!$D:$AM, 10, FALSE), 1)</f>
        <v>9.1793816876091072E-3</v>
      </c>
      <c r="AB13" s="7">
        <f>$B13 * IFERROR(VLOOKUP("electricity|PM25|Non-fatal heart attacks", US_national_yearly!$D:$AM, 36, FALSE) / VLOOKUP("electricity|PM25|Non-fatal heart attacks", US_national_yearly!$D:$AM, 10, FALSE), 1)</f>
        <v>9.2198771697015302E-3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4.1767933263301886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4.1860655267606051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4.1953377271910233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4.2046099276214397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4.2138821280518579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4.2276409990850716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4.2413998701182862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4.265694289781794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4.2899887094453035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4.3142831291088122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4.3385775487723217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4.3628719684358304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4.3965753351150463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4.4302787017942631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4.4639820684734799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4.4976854351526967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4.5313888018319126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4.5653828771383713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4.5993769524448282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4.6333710277512852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4.6673651030577439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4.7013591783642008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4.7304991964857477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4.7596392146072946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4.7887792327288423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4.8179192508503874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4.8470592689719361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0.70481430093240349</v>
      </c>
      <c r="C15" s="7">
        <f>$B15 * IFERROR(VLOOKUP("electricity|PM25|Work loss days", US_national_yearly!$D:$AM, 11, FALSE) / VLOOKUP("electricity|PM25|Work loss days", US_national_yearly!$D:$AM, 10, FALSE), 1)</f>
        <v>0.70683116779622657</v>
      </c>
      <c r="D15" s="7">
        <f>$B15 * IFERROR(VLOOKUP("electricity|PM25|Work loss days", US_national_yearly!$D:$AM, 12, FALSE) / VLOOKUP("electricity|PM25|Work loss days", US_national_yearly!$D:$AM, 10, FALSE), 1)</f>
        <v>0.70884803466004986</v>
      </c>
      <c r="E15" s="7">
        <f>$B15 * IFERROR(VLOOKUP("electricity|PM25|Work loss days", US_national_yearly!$D:$AM, 13, FALSE) / VLOOKUP("electricity|PM25|Work loss days", US_national_yearly!$D:$AM, 10, FALSE), 1)</f>
        <v>0.71086490152387294</v>
      </c>
      <c r="F15" s="7">
        <f>$B15 * IFERROR(VLOOKUP("electricity|PM25|Work loss days", US_national_yearly!$D:$AM, 14, FALSE) / VLOOKUP("electricity|PM25|Work loss days", US_national_yearly!$D:$AM, 10, FALSE), 1)</f>
        <v>0.71288176838769612</v>
      </c>
      <c r="G15" s="7">
        <f>$B15 * IFERROR(VLOOKUP("electricity|PM25|Work loss days", US_national_yearly!$D:$AM, 15, FALSE) / VLOOKUP("electricity|PM25|Work loss days", US_national_yearly!$D:$AM, 10, FALSE), 1)</f>
        <v>0.71549451587422908</v>
      </c>
      <c r="H15" s="7">
        <f>$B15 * IFERROR(VLOOKUP("electricity|PM25|Work loss days", US_national_yearly!$D:$AM, 16, FALSE) / VLOOKUP("electricity|PM25|Work loss days", US_national_yearly!$D:$AM, 10, FALSE), 1)</f>
        <v>0.71810726336076225</v>
      </c>
      <c r="I15" s="7">
        <f>$B15 * IFERROR(VLOOKUP("electricity|PM25|Work loss days", US_national_yearly!$D:$AM, 17, FALSE) / VLOOKUP("electricity|PM25|Work loss days", US_national_yearly!$D:$AM, 10, FALSE), 1)</f>
        <v>0.72203508305629549</v>
      </c>
      <c r="J15" s="7">
        <f>$B15 * IFERROR(VLOOKUP("electricity|PM25|Work loss days", US_national_yearly!$D:$AM, 18, FALSE) / VLOOKUP("electricity|PM25|Work loss days", US_national_yearly!$D:$AM, 10, FALSE), 1)</f>
        <v>0.72596290275182862</v>
      </c>
      <c r="K15" s="7">
        <f>$B15 * IFERROR(VLOOKUP("electricity|PM25|Work loss days", US_national_yearly!$D:$AM, 19, FALSE) / VLOOKUP("electricity|PM25|Work loss days", US_national_yearly!$D:$AM, 10, FALSE), 1)</f>
        <v>0.72989072244736186</v>
      </c>
      <c r="L15" s="7">
        <f>$B15 * IFERROR(VLOOKUP("electricity|PM25|Work loss days", US_national_yearly!$D:$AM, 20, FALSE) / VLOOKUP("electricity|PM25|Work loss days", US_national_yearly!$D:$AM, 10, FALSE), 1)</f>
        <v>0.7338185421428951</v>
      </c>
      <c r="M15" s="7">
        <f>$B15 * IFERROR(VLOOKUP("electricity|PM25|Work loss days", US_national_yearly!$D:$AM, 21, FALSE) / VLOOKUP("electricity|PM25|Work loss days", US_national_yearly!$D:$AM, 10, FALSE), 1)</f>
        <v>0.73774636183842834</v>
      </c>
      <c r="N15" s="7">
        <f>$B15 * IFERROR(VLOOKUP("electricity|PM25|Work loss days", US_national_yearly!$D:$AM, 22, FALSE) / VLOOKUP("electricity|PM25|Work loss days", US_national_yearly!$D:$AM, 10, FALSE), 1)</f>
        <v>0.74281744974432939</v>
      </c>
      <c r="O15" s="7">
        <f>$B15 * IFERROR(VLOOKUP("electricity|PM25|Work loss days", US_national_yearly!$D:$AM, 23, FALSE) / VLOOKUP("electricity|PM25|Work loss days", US_national_yearly!$D:$AM, 10, FALSE), 1)</f>
        <v>0.74788853765023044</v>
      </c>
      <c r="P15" s="7">
        <f>$B15 * IFERROR(VLOOKUP("electricity|PM25|Work loss days", US_national_yearly!$D:$AM, 24, FALSE) / VLOOKUP("electricity|PM25|Work loss days", US_national_yearly!$D:$AM, 10, FALSE), 1)</f>
        <v>0.75295962555613138</v>
      </c>
      <c r="Q15" s="7">
        <f>$B15 * IFERROR(VLOOKUP("electricity|PM25|Work loss days", US_national_yearly!$D:$AM, 25, FALSE) / VLOOKUP("electricity|PM25|Work loss days", US_national_yearly!$D:$AM, 10, FALSE), 1)</f>
        <v>0.75803071346203221</v>
      </c>
      <c r="R15" s="7">
        <f>$B15 * IFERROR(VLOOKUP("electricity|PM25|Work loss days", US_national_yearly!$D:$AM, 26, FALSE) / VLOOKUP("electricity|PM25|Work loss days", US_national_yearly!$D:$AM, 10, FALSE), 1)</f>
        <v>0.76310180136793326</v>
      </c>
      <c r="S15" s="7">
        <f>$B15 * IFERROR(VLOOKUP("electricity|PM25|Work loss days", US_national_yearly!$D:$AM, 27, FALSE) / VLOOKUP("electricity|PM25|Work loss days", US_national_yearly!$D:$AM, 10, FALSE), 1)</f>
        <v>0.76872891826605394</v>
      </c>
      <c r="T15" s="7">
        <f>$B15 * IFERROR(VLOOKUP("electricity|PM25|Work loss days", US_national_yearly!$D:$AM, 28, FALSE) / VLOOKUP("electricity|PM25|Work loss days", US_national_yearly!$D:$AM, 10, FALSE), 1)</f>
        <v>0.77435603516417473</v>
      </c>
      <c r="U15" s="7">
        <f>$B15 * IFERROR(VLOOKUP("electricity|PM25|Work loss days", US_national_yearly!$D:$AM, 29, FALSE) / VLOOKUP("electricity|PM25|Work loss days", US_national_yearly!$D:$AM, 10, FALSE), 1)</f>
        <v>0.77998315206229551</v>
      </c>
      <c r="V15" s="7">
        <f>$B15 * IFERROR(VLOOKUP("electricity|PM25|Work loss days", US_national_yearly!$D:$AM, 30, FALSE) / VLOOKUP("electricity|PM25|Work loss days", US_national_yearly!$D:$AM, 10, FALSE), 1)</f>
        <v>0.7856102689604163</v>
      </c>
      <c r="W15" s="7">
        <f>$B15 * IFERROR(VLOOKUP("electricity|PM25|Work loss days", US_national_yearly!$D:$AM, 31, FALSE) / VLOOKUP("electricity|PM25|Work loss days", US_national_yearly!$D:$AM, 10, FALSE), 1)</f>
        <v>0.79123738585853698</v>
      </c>
      <c r="X15" s="7">
        <f>$B15 * IFERROR(VLOOKUP("electricity|PM25|Work loss days", US_national_yearly!$D:$AM, 32, FALSE) / VLOOKUP("electricity|PM25|Work loss days", US_national_yearly!$D:$AM, 10, FALSE), 1)</f>
        <v>0.79620142629085</v>
      </c>
      <c r="Y15" s="7">
        <f>$B15 * IFERROR(VLOOKUP("electricity|PM25|Work loss days", US_national_yearly!$D:$AM, 33, FALSE) / VLOOKUP("electricity|PM25|Work loss days", US_national_yearly!$D:$AM, 10, FALSE), 1)</f>
        <v>0.8011654667231628</v>
      </c>
      <c r="Z15" s="7">
        <f>$B15 * IFERROR(VLOOKUP("electricity|PM25|Work loss days", US_national_yearly!$D:$AM, 34, FALSE) / VLOOKUP("electricity|PM25|Work loss days", US_national_yearly!$D:$AM, 10, FALSE), 1)</f>
        <v>0.80612950715547571</v>
      </c>
      <c r="AA15" s="7">
        <f>$B15 * IFERROR(VLOOKUP("electricity|PM25|Work loss days", US_national_yearly!$D:$AM, 35, FALSE) / VLOOKUP("electricity|PM25|Work loss days", US_national_yearly!$D:$AM, 10, FALSE), 1)</f>
        <v>0.81109354758778873</v>
      </c>
      <c r="AB15" s="7">
        <f>$B15 * IFERROR(VLOOKUP("electricity|PM25|Work loss days", US_national_yearly!$D:$AM, 36, FALSE) / VLOOKUP("electricity|PM25|Work loss days", US_national_yearly!$D:$AM, 10, FALSE), 1)</f>
        <v>0.81605758802010175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1.6174508171213475E-3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1.6654485231998154E-3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1.7134462292782836E-3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1.7614439353567516E-3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1.8094416414352196E-3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1.8557353544846364E-3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1.9020290675340532E-3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1.9421323610134074E-3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1.9822356544927614E-3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2.0223389479721156E-3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2.0624422414514698E-3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2.1025455349308235E-3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2.1295038880029364E-3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2.1564622410750493E-3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2.1834205941471617E-3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2.2103789472192751E-3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2.2373373002913879E-3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2.252215651336363E-3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2.2670940023813372E-3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2.2819723534263123E-3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2.2968507044712869E-3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2.3117290555162615E-3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2.3221089989484897E-3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2.332488942380717E-3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2.3428688858129448E-3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2.353248829245173E-3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2.3636287726774008E-3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2.3467882008042919E-3</v>
      </c>
      <c r="C2" s="7">
        <f>$B2 * IFERROR(VLOOKUP("electricity|NOx|Premature mortality", US_national_yearly!$D:$AM, 11, FALSE) / VLOOKUP("electricity|NOx|Premature mortality", US_national_yearly!$D:$AM, 10, FALSE), 1)</f>
        <v>2.3822965934597487E-3</v>
      </c>
      <c r="D2" s="7">
        <f>$B2 * IFERROR(VLOOKUP("electricity|NOx|Premature mortality", US_national_yearly!$D:$AM, 12, FALSE) / VLOOKUP("electricity|NOx|Premature mortality", US_national_yearly!$D:$AM, 10, FALSE), 1)</f>
        <v>2.4178049861152055E-3</v>
      </c>
      <c r="E2" s="7">
        <f>$B2 * IFERROR(VLOOKUP("electricity|NOx|Premature mortality", US_national_yearly!$D:$AM, 13, FALSE) / VLOOKUP("electricity|NOx|Premature mortality", US_national_yearly!$D:$AM, 10, FALSE), 1)</f>
        <v>2.4533133787706623E-3</v>
      </c>
      <c r="F2" s="7">
        <f>$B2 * IFERROR(VLOOKUP("electricity|NOx|Premature mortality", US_national_yearly!$D:$AM, 14, FALSE) / VLOOKUP("electricity|NOx|Premature mortality", US_national_yearly!$D:$AM, 10, FALSE), 1)</f>
        <v>2.4888217714261187E-3</v>
      </c>
      <c r="G2" s="7">
        <f>$B2 * IFERROR(VLOOKUP("electricity|NOx|Premature mortality", US_national_yearly!$D:$AM, 15, FALSE) / VLOOKUP("electricity|NOx|Premature mortality", US_national_yearly!$D:$AM, 10, FALSE), 1)</f>
        <v>2.552252838145697E-3</v>
      </c>
      <c r="H2" s="7">
        <f>$B2 * IFERROR(VLOOKUP("electricity|NOx|Premature mortality", US_national_yearly!$D:$AM, 16, FALSE) / VLOOKUP("electricity|NOx|Premature mortality", US_national_yearly!$D:$AM, 10, FALSE), 1)</f>
        <v>2.6156839048652749E-3</v>
      </c>
      <c r="I2" s="7">
        <f>$B2 * IFERROR(VLOOKUP("electricity|NOx|Premature mortality", US_national_yearly!$D:$AM, 17, FALSE) / VLOOKUP("electricity|NOx|Premature mortality", US_national_yearly!$D:$AM, 10, FALSE), 1)</f>
        <v>2.657836454118967E-3</v>
      </c>
      <c r="J2" s="7">
        <f>$B2 * IFERROR(VLOOKUP("electricity|NOx|Premature mortality", US_national_yearly!$D:$AM, 18, FALSE) / VLOOKUP("electricity|NOx|Premature mortality", US_national_yearly!$D:$AM, 10, FALSE), 1)</f>
        <v>2.6999890033726601E-3</v>
      </c>
      <c r="K2" s="7">
        <f>$B2 * IFERROR(VLOOKUP("electricity|NOx|Premature mortality", US_national_yearly!$D:$AM, 19, FALSE) / VLOOKUP("electricity|NOx|Premature mortality", US_national_yearly!$D:$AM, 10, FALSE), 1)</f>
        <v>2.7421415526263527E-3</v>
      </c>
      <c r="L2" s="7">
        <f>$B2 * IFERROR(VLOOKUP("electricity|NOx|Premature mortality", US_national_yearly!$D:$AM, 20, FALSE) / VLOOKUP("electricity|NOx|Premature mortality", US_national_yearly!$D:$AM, 10, FALSE), 1)</f>
        <v>2.7842941018800449E-3</v>
      </c>
      <c r="M2" s="7">
        <f>$B2 * IFERROR(VLOOKUP("electricity|NOx|Premature mortality", US_national_yearly!$D:$AM, 21, FALSE) / VLOOKUP("electricity|NOx|Premature mortality", US_national_yearly!$D:$AM, 10, FALSE), 1)</f>
        <v>2.8264466511337375E-3</v>
      </c>
      <c r="N2" s="7">
        <f>$B2 * IFERROR(VLOOKUP("electricity|NOx|Premature mortality", US_national_yearly!$D:$AM, 22, FALSE) / VLOOKUP("electricity|NOx|Premature mortality", US_national_yearly!$D:$AM, 10, FALSE), 1)</f>
        <v>2.8589722159236101E-3</v>
      </c>
      <c r="O2" s="7">
        <f>$B2 * IFERROR(VLOOKUP("electricity|NOx|Premature mortality", US_national_yearly!$D:$AM, 23, FALSE) / VLOOKUP("electricity|NOx|Premature mortality", US_national_yearly!$D:$AM, 10, FALSE), 1)</f>
        <v>2.8914977807134837E-3</v>
      </c>
      <c r="P2" s="7">
        <f>$B2 * IFERROR(VLOOKUP("electricity|NOx|Premature mortality", US_national_yearly!$D:$AM, 24, FALSE) / VLOOKUP("electricity|NOx|Premature mortality", US_national_yearly!$D:$AM, 10, FALSE), 1)</f>
        <v>2.9240233455033564E-3</v>
      </c>
      <c r="Q2" s="7">
        <f>$B2 * IFERROR(VLOOKUP("electricity|NOx|Premature mortality", US_national_yearly!$D:$AM, 25, FALSE) / VLOOKUP("electricity|NOx|Premature mortality", US_national_yearly!$D:$AM, 10, FALSE), 1)</f>
        <v>2.9565489102932295E-3</v>
      </c>
      <c r="R2" s="7">
        <f>$B2 * IFERROR(VLOOKUP("electricity|NOx|Premature mortality", US_national_yearly!$D:$AM, 26, FALSE) / VLOOKUP("electricity|NOx|Premature mortality", US_national_yearly!$D:$AM, 10, FALSE), 1)</f>
        <v>2.9890744750831022E-3</v>
      </c>
      <c r="S2" s="7">
        <f>$B2 * IFERROR(VLOOKUP("electricity|NOx|Premature mortality", US_national_yearly!$D:$AM, 27, FALSE) / VLOOKUP("electricity|NOx|Premature mortality", US_national_yearly!$D:$AM, 10, FALSE), 1)</f>
        <v>3.0058817962783689E-3</v>
      </c>
      <c r="T2" s="7">
        <f>$B2 * IFERROR(VLOOKUP("electricity|NOx|Premature mortality", US_national_yearly!$D:$AM, 28, FALSE) / VLOOKUP("electricity|NOx|Premature mortality", US_national_yearly!$D:$AM, 10, FALSE), 1)</f>
        <v>3.0226891174736361E-3</v>
      </c>
      <c r="U2" s="7">
        <f>$B2 * IFERROR(VLOOKUP("electricity|NOx|Premature mortality", US_national_yearly!$D:$AM, 29, FALSE) / VLOOKUP("electricity|NOx|Premature mortality", US_national_yearly!$D:$AM, 10, FALSE), 1)</f>
        <v>3.0394964386689038E-3</v>
      </c>
      <c r="V2" s="7">
        <f>$B2 * IFERROR(VLOOKUP("electricity|NOx|Premature mortality", US_national_yearly!$D:$AM, 30, FALSE) / VLOOKUP("electricity|NOx|Premature mortality", US_national_yearly!$D:$AM, 10, FALSE), 1)</f>
        <v>3.0563037598641709E-3</v>
      </c>
      <c r="W2" s="7">
        <f>$B2 * IFERROR(VLOOKUP("electricity|NOx|Premature mortality", US_national_yearly!$D:$AM, 31, FALSE) / VLOOKUP("electricity|NOx|Premature mortality", US_national_yearly!$D:$AM, 10, FALSE), 1)</f>
        <v>3.0731110810594377E-3</v>
      </c>
      <c r="X2" s="7">
        <f>$B2 * IFERROR(VLOOKUP("electricity|NOx|Premature mortality", US_national_yearly!$D:$AM, 32, FALSE) / VLOOKUP("electricity|NOx|Premature mortality", US_national_yearly!$D:$AM, 10, FALSE), 1)</f>
        <v>3.07691341925438E-3</v>
      </c>
      <c r="Y2" s="7">
        <f>$B2 * IFERROR(VLOOKUP("electricity|NOx|Premature mortality", US_national_yearly!$D:$AM, 33, FALSE) / VLOOKUP("electricity|NOx|Premature mortality", US_national_yearly!$D:$AM, 10, FALSE), 1)</f>
        <v>3.0807157574493228E-3</v>
      </c>
      <c r="Z2" s="7">
        <f>$B2 * IFERROR(VLOOKUP("electricity|NOx|Premature mortality", US_national_yearly!$D:$AM, 34, FALSE) / VLOOKUP("electricity|NOx|Premature mortality", US_national_yearly!$D:$AM, 10, FALSE), 1)</f>
        <v>3.0845180956442651E-3</v>
      </c>
      <c r="AA2" s="7">
        <f>$B2 * IFERROR(VLOOKUP("electricity|NOx|Premature mortality", US_national_yearly!$D:$AM, 35, FALSE) / VLOOKUP("electricity|NOx|Premature mortality", US_national_yearly!$D:$AM, 10, FALSE), 1)</f>
        <v>3.088320433839207E-3</v>
      </c>
      <c r="AB2" s="7">
        <f>$B2 * IFERROR(VLOOKUP("electricity|NOx|Premature mortality", US_national_yearly!$D:$AM, 36, FALSE) / VLOOKUP("electricity|NOx|Premature mortality", US_national_yearly!$D:$AM, 10, FALSE), 1)</f>
        <v>3.0921227720341494E-3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5.8841301366670666E-6</v>
      </c>
      <c r="C3" s="7">
        <f>$B3 * IFERROR(VLOOKUP("electricity|NOx|Infant mortality", US_national_yearly!$D:$AM, 11, FALSE) / VLOOKUP("electricity|NOx|Infant mortality", US_national_yearly!$D:$AM, 10, FALSE), 1)</f>
        <v>5.8290807373319409E-6</v>
      </c>
      <c r="D3" s="7">
        <f>$B3 * IFERROR(VLOOKUP("electricity|NOx|Infant mortality", US_national_yearly!$D:$AM, 12, FALSE) / VLOOKUP("electricity|NOx|Infant mortality", US_national_yearly!$D:$AM, 10, FALSE), 1)</f>
        <v>5.7740313379968135E-6</v>
      </c>
      <c r="E3" s="7">
        <f>$B3 * IFERROR(VLOOKUP("electricity|NOx|Infant mortality", US_national_yearly!$D:$AM, 13, FALSE) / VLOOKUP("electricity|NOx|Infant mortality", US_national_yearly!$D:$AM, 10, FALSE), 1)</f>
        <v>5.7189819386616879E-6</v>
      </c>
      <c r="F3" s="7">
        <f>$B3 * IFERROR(VLOOKUP("electricity|NOx|Infant mortality", US_national_yearly!$D:$AM, 14, FALSE) / VLOOKUP("electricity|NOx|Infant mortality", US_national_yearly!$D:$AM, 10, FALSE), 1)</f>
        <v>5.6639325393265614E-6</v>
      </c>
      <c r="G3" s="7">
        <f>$B3 * IFERROR(VLOOKUP("electricity|NOx|Infant mortality", US_national_yearly!$D:$AM, 15, FALSE) / VLOOKUP("electricity|NOx|Infant mortality", US_national_yearly!$D:$AM, 10, FALSE), 1)</f>
        <v>3.7526359189948698E-6</v>
      </c>
      <c r="H3" s="7">
        <f>$B3 * IFERROR(VLOOKUP("electricity|NOx|Infant mortality", US_national_yearly!$D:$AM, 16, FALSE) / VLOOKUP("electricity|NOx|Infant mortality", US_national_yearly!$D:$AM, 10, FALSE), 1)</f>
        <v>1.841339298663179E-6</v>
      </c>
      <c r="I3" s="7">
        <f>$B3 * IFERROR(VLOOKUP("electricity|NOx|Infant mortality", US_national_yearly!$D:$AM, 17, FALSE) / VLOOKUP("electricity|NOx|Infant mortality", US_national_yearly!$D:$AM, 10, FALSE), 1)</f>
        <v>1.8279480730683616E-6</v>
      </c>
      <c r="J3" s="7">
        <f>$B3 * IFERROR(VLOOKUP("electricity|NOx|Infant mortality", US_national_yearly!$D:$AM, 18, FALSE) / VLOOKUP("electricity|NOx|Infant mortality", US_national_yearly!$D:$AM, 10, FALSE), 1)</f>
        <v>1.8145568474735444E-6</v>
      </c>
      <c r="K3" s="7">
        <f>$B3 * IFERROR(VLOOKUP("electricity|NOx|Infant mortality", US_national_yearly!$D:$AM, 19, FALSE) / VLOOKUP("electricity|NOx|Infant mortality", US_national_yearly!$D:$AM, 10, FALSE), 1)</f>
        <v>1.8011656218787269E-6</v>
      </c>
      <c r="L3" s="7">
        <f>$B3 * IFERROR(VLOOKUP("electricity|NOx|Infant mortality", US_national_yearly!$D:$AM, 20, FALSE) / VLOOKUP("electricity|NOx|Infant mortality", US_national_yearly!$D:$AM, 10, FALSE), 1)</f>
        <v>1.7877743962839097E-6</v>
      </c>
      <c r="M3" s="7">
        <f>$B3 * IFERROR(VLOOKUP("electricity|NOx|Infant mortality", US_national_yearly!$D:$AM, 21, FALSE) / VLOOKUP("electricity|NOx|Infant mortality", US_national_yearly!$D:$AM, 10, FALSE), 1)</f>
        <v>1.7743831706890921E-6</v>
      </c>
      <c r="N3" s="7">
        <f>$B3 * IFERROR(VLOOKUP("electricity|NOx|Infant mortality", US_national_yearly!$D:$AM, 22, FALSE) / VLOOKUP("electricity|NOx|Infant mortality", US_national_yearly!$D:$AM, 10, FALSE), 1)</f>
        <v>1.7653908665075142E-6</v>
      </c>
      <c r="O3" s="7">
        <f>$B3 * IFERROR(VLOOKUP("electricity|NOx|Infant mortality", US_national_yearly!$D:$AM, 23, FALSE) / VLOOKUP("electricity|NOx|Infant mortality", US_national_yearly!$D:$AM, 10, FALSE), 1)</f>
        <v>1.7563985623259361E-6</v>
      </c>
      <c r="P3" s="7">
        <f>$B3 * IFERROR(VLOOKUP("electricity|NOx|Infant mortality", US_national_yearly!$D:$AM, 24, FALSE) / VLOOKUP("electricity|NOx|Infant mortality", US_national_yearly!$D:$AM, 10, FALSE), 1)</f>
        <v>1.747406258144358E-6</v>
      </c>
      <c r="Q3" s="7">
        <f>$B3 * IFERROR(VLOOKUP("electricity|NOx|Infant mortality", US_national_yearly!$D:$AM, 25, FALSE) / VLOOKUP("electricity|NOx|Infant mortality", US_national_yearly!$D:$AM, 10, FALSE), 1)</f>
        <v>1.7384139539627796E-6</v>
      </c>
      <c r="R3" s="7">
        <f>$B3 * IFERROR(VLOOKUP("electricity|NOx|Infant mortality", US_national_yearly!$D:$AM, 26, FALSE) / VLOOKUP("electricity|NOx|Infant mortality", US_national_yearly!$D:$AM, 10, FALSE), 1)</f>
        <v>1.729421649781202E-6</v>
      </c>
      <c r="S3" s="7">
        <f>$B3 * IFERROR(VLOOKUP("electricity|NOx|Infant mortality", US_national_yearly!$D:$AM, 27, FALSE) / VLOOKUP("electricity|NOx|Infant mortality", US_national_yearly!$D:$AM, 10, FALSE), 1)</f>
        <v>1.7187462187576044E-6</v>
      </c>
      <c r="T3" s="7">
        <f>$B3 * IFERROR(VLOOKUP("electricity|NOx|Infant mortality", US_national_yearly!$D:$AM, 28, FALSE) / VLOOKUP("electricity|NOx|Infant mortality", US_national_yearly!$D:$AM, 10, FALSE), 1)</f>
        <v>1.708070787734007E-6</v>
      </c>
      <c r="U3" s="7">
        <f>$B3 * IFERROR(VLOOKUP("electricity|NOx|Infant mortality", US_national_yearly!$D:$AM, 29, FALSE) / VLOOKUP("electricity|NOx|Infant mortality", US_national_yearly!$D:$AM, 10, FALSE), 1)</f>
        <v>1.6973953567104101E-6</v>
      </c>
      <c r="V3" s="7">
        <f>$B3 * IFERROR(VLOOKUP("electricity|NOx|Infant mortality", US_national_yearly!$D:$AM, 30, FALSE) / VLOOKUP("electricity|NOx|Infant mortality", US_national_yearly!$D:$AM, 10, FALSE), 1)</f>
        <v>1.6867199256868129E-6</v>
      </c>
      <c r="W3" s="7">
        <f>$B3 * IFERROR(VLOOKUP("electricity|NOx|Infant mortality", US_national_yearly!$D:$AM, 31, FALSE) / VLOOKUP("electricity|NOx|Infant mortality", US_national_yearly!$D:$AM, 10, FALSE), 1)</f>
        <v>1.6760444946632155E-6</v>
      </c>
      <c r="X3" s="7">
        <f>$B3 * IFERROR(VLOOKUP("electricity|NOx|Infant mortality", US_national_yearly!$D:$AM, 32, FALSE) / VLOOKUP("electricity|NOx|Infant mortality", US_national_yearly!$D:$AM, 10, FALSE), 1)</f>
        <v>1.6650522769268838E-6</v>
      </c>
      <c r="Y3" s="7">
        <f>$B3 * IFERROR(VLOOKUP("electricity|NOx|Infant mortality", US_national_yearly!$D:$AM, 33, FALSE) / VLOOKUP("electricity|NOx|Infant mortality", US_national_yearly!$D:$AM, 10, FALSE), 1)</f>
        <v>1.6540600591905522E-6</v>
      </c>
      <c r="Z3" s="7">
        <f>$B3 * IFERROR(VLOOKUP("electricity|NOx|Infant mortality", US_national_yearly!$D:$AM, 34, FALSE) / VLOOKUP("electricity|NOx|Infant mortality", US_national_yearly!$D:$AM, 10, FALSE), 1)</f>
        <v>1.6430678414542207E-6</v>
      </c>
      <c r="AA3" s="7">
        <f>$B3 * IFERROR(VLOOKUP("electricity|NOx|Infant mortality", US_national_yearly!$D:$AM, 35, FALSE) / VLOOKUP("electricity|NOx|Infant mortality", US_national_yearly!$D:$AM, 10, FALSE), 1)</f>
        <v>1.632075623717889E-6</v>
      </c>
      <c r="AB3" s="7">
        <f>$B3 * IFERROR(VLOOKUP("electricity|NOx|Infant mortality", US_national_yearly!$D:$AM, 36, FALSE) / VLOOKUP("electricity|NOx|Infant mortality", US_national_yearly!$D:$AM, 10, FALSE), 1)</f>
        <v>1.6210834059815571E-6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5.1947276432411467E-3</v>
      </c>
      <c r="C6" s="7">
        <f>$B6 * IFERROR(VLOOKUP("electricity|NOx|Asthma symptoms cough", US_national_yearly!$D:$AM, 11, FALSE) / VLOOKUP("electricity|NOx|Asthma symptoms cough", US_national_yearly!$D:$AM, 10, FALSE), 1)</f>
        <v>5.2660446613932398E-3</v>
      </c>
      <c r="D6" s="7">
        <f>$B6 * IFERROR(VLOOKUP("electricity|NOx|Asthma symptoms cough", US_national_yearly!$D:$AM, 12, FALSE) / VLOOKUP("electricity|NOx|Asthma symptoms cough", US_national_yearly!$D:$AM, 10, FALSE), 1)</f>
        <v>5.3373616795453337E-3</v>
      </c>
      <c r="E6" s="7">
        <f>$B6 * IFERROR(VLOOKUP("electricity|NOx|Asthma symptoms cough", US_national_yearly!$D:$AM, 13, FALSE) / VLOOKUP("electricity|NOx|Asthma symptoms cough", US_national_yearly!$D:$AM, 10, FALSE), 1)</f>
        <v>5.4086786976974268E-3</v>
      </c>
      <c r="F6" s="7">
        <f>$B6 * IFERROR(VLOOKUP("electricity|NOx|Asthma symptoms cough", US_national_yearly!$D:$AM, 14, FALSE) / VLOOKUP("electricity|NOx|Asthma symptoms cough", US_national_yearly!$D:$AM, 10, FALSE), 1)</f>
        <v>5.4799957158495199E-3</v>
      </c>
      <c r="G6" s="7">
        <f>$B6 * IFERROR(VLOOKUP("electricity|NOx|Asthma symptoms cough", US_national_yearly!$D:$AM, 15, FALSE) / VLOOKUP("electricity|NOx|Asthma symptoms cough", US_national_yearly!$D:$AM, 10, FALSE), 1)</f>
        <v>5.5379802329952651E-3</v>
      </c>
      <c r="H6" s="7">
        <f>$B6 * IFERROR(VLOOKUP("electricity|NOx|Asthma symptoms cough", US_national_yearly!$D:$AM, 16, FALSE) / VLOOKUP("electricity|NOx|Asthma symptoms cough", US_national_yearly!$D:$AM, 10, FALSE), 1)</f>
        <v>5.5959647501410094E-3</v>
      </c>
      <c r="I6" s="7">
        <f>$B6 * IFERROR(VLOOKUP("electricity|NOx|Asthma symptoms cough", US_national_yearly!$D:$AM, 17, FALSE) / VLOOKUP("electricity|NOx|Asthma symptoms cough", US_national_yearly!$D:$AM, 10, FALSE), 1)</f>
        <v>5.6175198010396032E-3</v>
      </c>
      <c r="J6" s="7">
        <f>$B6 * IFERROR(VLOOKUP("electricity|NOx|Asthma symptoms cough", US_national_yearly!$D:$AM, 18, FALSE) / VLOOKUP("electricity|NOx|Asthma symptoms cough", US_national_yearly!$D:$AM, 10, FALSE), 1)</f>
        <v>5.6390748519381962E-3</v>
      </c>
      <c r="K6" s="7">
        <f>$B6 * IFERROR(VLOOKUP("electricity|NOx|Asthma symptoms cough", US_national_yearly!$D:$AM, 19, FALSE) / VLOOKUP("electricity|NOx|Asthma symptoms cough", US_national_yearly!$D:$AM, 10, FALSE), 1)</f>
        <v>5.6606299028367909E-3</v>
      </c>
      <c r="L6" s="7">
        <f>$B6 * IFERROR(VLOOKUP("electricity|NOx|Asthma symptoms cough", US_national_yearly!$D:$AM, 20, FALSE) / VLOOKUP("electricity|NOx|Asthma symptoms cough", US_national_yearly!$D:$AM, 10, FALSE), 1)</f>
        <v>5.6821849537353848E-3</v>
      </c>
      <c r="M6" s="7">
        <f>$B6 * IFERROR(VLOOKUP("electricity|NOx|Asthma symptoms cough", US_national_yearly!$D:$AM, 21, FALSE) / VLOOKUP("electricity|NOx|Asthma symptoms cough", US_national_yearly!$D:$AM, 10, FALSE), 1)</f>
        <v>5.7037400046339795E-3</v>
      </c>
      <c r="N6" s="7">
        <f>$B6 * IFERROR(VLOOKUP("electricity|NOx|Asthma symptoms cough", US_national_yearly!$D:$AM, 22, FALSE) / VLOOKUP("electricity|NOx|Asthma symptoms cough", US_national_yearly!$D:$AM, 10, FALSE), 1)</f>
        <v>5.7276228214862522E-3</v>
      </c>
      <c r="O6" s="7">
        <f>$B6 * IFERROR(VLOOKUP("electricity|NOx|Asthma symptoms cough", US_national_yearly!$D:$AM, 23, FALSE) / VLOOKUP("electricity|NOx|Asthma symptoms cough", US_national_yearly!$D:$AM, 10, FALSE), 1)</f>
        <v>5.7515056383385266E-3</v>
      </c>
      <c r="P6" s="7">
        <f>$B6 * IFERROR(VLOOKUP("electricity|NOx|Asthma symptoms cough", US_national_yearly!$D:$AM, 24, FALSE) / VLOOKUP("electricity|NOx|Asthma symptoms cough", US_national_yearly!$D:$AM, 10, FALSE), 1)</f>
        <v>5.7753884551907993E-3</v>
      </c>
      <c r="Q6" s="7">
        <f>$B6 * IFERROR(VLOOKUP("electricity|NOx|Asthma symptoms cough", US_national_yearly!$D:$AM, 25, FALSE) / VLOOKUP("electricity|NOx|Asthma symptoms cough", US_national_yearly!$D:$AM, 10, FALSE), 1)</f>
        <v>5.7992712720430729E-3</v>
      </c>
      <c r="R6" s="7">
        <f>$B6 * IFERROR(VLOOKUP("electricity|NOx|Asthma symptoms cough", US_national_yearly!$D:$AM, 26, FALSE) / VLOOKUP("electricity|NOx|Asthma symptoms cough", US_national_yearly!$D:$AM, 10, FALSE), 1)</f>
        <v>5.8231540888953465E-3</v>
      </c>
      <c r="S6" s="7">
        <f>$B6 * IFERROR(VLOOKUP("electricity|NOx|Asthma symptoms cough", US_national_yearly!$D:$AM, 27, FALSE) / VLOOKUP("electricity|NOx|Asthma symptoms cough", US_national_yearly!$D:$AM, 10, FALSE), 1)</f>
        <v>5.8529501022369975E-3</v>
      </c>
      <c r="T6" s="7">
        <f>$B6 * IFERROR(VLOOKUP("electricity|NOx|Asthma symptoms cough", US_national_yearly!$D:$AM, 28, FALSE) / VLOOKUP("electricity|NOx|Asthma symptoms cough", US_national_yearly!$D:$AM, 10, FALSE), 1)</f>
        <v>5.8827461155786477E-3</v>
      </c>
      <c r="U6" s="7">
        <f>$B6 * IFERROR(VLOOKUP("electricity|NOx|Asthma symptoms cough", US_national_yearly!$D:$AM, 29, FALSE) / VLOOKUP("electricity|NOx|Asthma symptoms cough", US_national_yearly!$D:$AM, 10, FALSE), 1)</f>
        <v>5.9125421289202996E-3</v>
      </c>
      <c r="V6" s="7">
        <f>$B6 * IFERROR(VLOOKUP("electricity|NOx|Asthma symptoms cough", US_national_yearly!$D:$AM, 30, FALSE) / VLOOKUP("electricity|NOx|Asthma symptoms cough", US_national_yearly!$D:$AM, 10, FALSE), 1)</f>
        <v>5.9423381422619498E-3</v>
      </c>
      <c r="W6" s="7">
        <f>$B6 * IFERROR(VLOOKUP("electricity|NOx|Asthma symptoms cough", US_national_yearly!$D:$AM, 31, FALSE) / VLOOKUP("electricity|NOx|Asthma symptoms cough", US_national_yearly!$D:$AM, 10, FALSE), 1)</f>
        <v>5.9721341556036008E-3</v>
      </c>
      <c r="X6" s="7">
        <f>$B6 * IFERROR(VLOOKUP("electricity|NOx|Asthma symptoms cough", US_national_yearly!$D:$AM, 32, FALSE) / VLOOKUP("electricity|NOx|Asthma symptoms cough", US_national_yearly!$D:$AM, 10, FALSE), 1)</f>
        <v>5.9995854215888584E-3</v>
      </c>
      <c r="Y6" s="7">
        <f>$B6 * IFERROR(VLOOKUP("electricity|NOx|Asthma symptoms cough", US_national_yearly!$D:$AM, 33, FALSE) / VLOOKUP("electricity|NOx|Asthma symptoms cough", US_national_yearly!$D:$AM, 10, FALSE), 1)</f>
        <v>6.0270366875741169E-3</v>
      </c>
      <c r="Z6" s="7">
        <f>$B6 * IFERROR(VLOOKUP("electricity|NOx|Asthma symptoms cough", US_national_yearly!$D:$AM, 34, FALSE) / VLOOKUP("electricity|NOx|Asthma symptoms cough", US_national_yearly!$D:$AM, 10, FALSE), 1)</f>
        <v>6.0544879535593763E-3</v>
      </c>
      <c r="AA6" s="7">
        <f>$B6 * IFERROR(VLOOKUP("electricity|NOx|Asthma symptoms cough", US_national_yearly!$D:$AM, 35, FALSE) / VLOOKUP("electricity|NOx|Asthma symptoms cough", US_national_yearly!$D:$AM, 10, FALSE), 1)</f>
        <v>6.081939219544634E-3</v>
      </c>
      <c r="AB6" s="7">
        <f>$B6 * IFERROR(VLOOKUP("electricity|NOx|Asthma symptoms cough", US_national_yearly!$D:$AM, 36, FALSE) / VLOOKUP("electricity|NOx|Asthma symptoms cough", US_national_yearly!$D:$AM, 10, FALSE), 1)</f>
        <v>6.1093904855298925E-3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6.9951501688816642E-3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7.0911847032983505E-3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7.1872192377150385E-3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7.2832537721317257E-3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7.379288306548412E-3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7.4573694748959222E-3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7.5354506432434316E-3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7.5644763837349575E-3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7.59350212422648E-3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7.6225278647180043E-3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7.6515536052095268E-3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7.680579345701051E-3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7.7127396244550594E-3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7.7448999032090687E-3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7.7770601819630771E-3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7.8092204607170873E-3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7.8413807394710957E-3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7.8815036488923042E-3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7.9216265583135093E-3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7.9617494677347179E-3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8.001872377155923E-3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8.0419952865771315E-3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8.0789607908320522E-3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8.1159262950869747E-3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8.1528917993418954E-3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8.1898573035968161E-3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8.2268228078517386E-3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1.0688488573746303E-2</v>
      </c>
      <c r="C8" s="7">
        <f>$B8 * IFERROR(VLOOKUP("electricity|NOx|Asthma symptoms wheeze", US_national_yearly!$D:$AM, 11, FALSE) / VLOOKUP("electricity|NOx|Asthma symptoms wheeze", US_national_yearly!$D:$AM, 10, FALSE), 1)</f>
        <v>1.0835227957557167E-2</v>
      </c>
      <c r="D8" s="7">
        <f>$B8 * IFERROR(VLOOKUP("electricity|NOx|Asthma symptoms wheeze", US_national_yearly!$D:$AM, 12, FALSE) / VLOOKUP("electricity|NOx|Asthma symptoms wheeze", US_national_yearly!$D:$AM, 10, FALSE), 1)</f>
        <v>1.098196734136803E-2</v>
      </c>
      <c r="E8" s="7">
        <f>$B8 * IFERROR(VLOOKUP("electricity|NOx|Asthma symptoms wheeze", US_national_yearly!$D:$AM, 13, FALSE) / VLOOKUP("electricity|NOx|Asthma symptoms wheeze", US_national_yearly!$D:$AM, 10, FALSE), 1)</f>
        <v>1.1128706725178895E-2</v>
      </c>
      <c r="F8" s="7">
        <f>$B8 * IFERROR(VLOOKUP("electricity|NOx|Asthma symptoms wheeze", US_national_yearly!$D:$AM, 14, FALSE) / VLOOKUP("electricity|NOx|Asthma symptoms wheeze", US_national_yearly!$D:$AM, 10, FALSE), 1)</f>
        <v>1.127544610898976E-2</v>
      </c>
      <c r="G8" s="7">
        <f>$B8 * IFERROR(VLOOKUP("electricity|NOx|Asthma symptoms wheeze", US_national_yearly!$D:$AM, 15, FALSE) / VLOOKUP("electricity|NOx|Asthma symptoms wheeze", US_national_yearly!$D:$AM, 10, FALSE), 1)</f>
        <v>1.1394753008452413E-2</v>
      </c>
      <c r="H8" s="7">
        <f>$B8 * IFERROR(VLOOKUP("electricity|NOx|Asthma symptoms wheeze", US_national_yearly!$D:$AM, 16, FALSE) / VLOOKUP("electricity|NOx|Asthma symptoms wheeze", US_national_yearly!$D:$AM, 10, FALSE), 1)</f>
        <v>1.1514059907915068E-2</v>
      </c>
      <c r="I8" s="7">
        <f>$B8 * IFERROR(VLOOKUP("electricity|NOx|Asthma symptoms wheeze", US_national_yearly!$D:$AM, 17, FALSE) / VLOOKUP("electricity|NOx|Asthma symptoms wheeze", US_national_yearly!$D:$AM, 10, FALSE), 1)</f>
        <v>1.1558410821116239E-2</v>
      </c>
      <c r="J8" s="7">
        <f>$B8 * IFERROR(VLOOKUP("electricity|NOx|Asthma symptoms wheeze", US_national_yearly!$D:$AM, 18, FALSE) / VLOOKUP("electricity|NOx|Asthma symptoms wheeze", US_national_yearly!$D:$AM, 10, FALSE), 1)</f>
        <v>1.1602761734317412E-2</v>
      </c>
      <c r="K8" s="7">
        <f>$B8 * IFERROR(VLOOKUP("electricity|NOx|Asthma symptoms wheeze", US_national_yearly!$D:$AM, 19, FALSE) / VLOOKUP("electricity|NOx|Asthma symptoms wheeze", US_national_yearly!$D:$AM, 10, FALSE), 1)</f>
        <v>1.1647112647518588E-2</v>
      </c>
      <c r="L8" s="7">
        <f>$B8 * IFERROR(VLOOKUP("electricity|NOx|Asthma symptoms wheeze", US_national_yearly!$D:$AM, 20, FALSE) / VLOOKUP("electricity|NOx|Asthma symptoms wheeze", US_national_yearly!$D:$AM, 10, FALSE), 1)</f>
        <v>1.1691463560719761E-2</v>
      </c>
      <c r="M8" s="7">
        <f>$B8 * IFERROR(VLOOKUP("electricity|NOx|Asthma symptoms wheeze", US_national_yearly!$D:$AM, 21, FALSE) / VLOOKUP("electricity|NOx|Asthma symptoms wheeze", US_national_yearly!$D:$AM, 10, FALSE), 1)</f>
        <v>1.1735814473920933E-2</v>
      </c>
      <c r="N8" s="7">
        <f>$B8 * IFERROR(VLOOKUP("electricity|NOx|Asthma symptoms wheeze", US_national_yearly!$D:$AM, 22, FALSE) / VLOOKUP("electricity|NOx|Asthma symptoms wheeze", US_national_yearly!$D:$AM, 10, FALSE), 1)</f>
        <v>1.178495491633127E-2</v>
      </c>
      <c r="O8" s="7">
        <f>$B8 * IFERROR(VLOOKUP("electricity|NOx|Asthma symptoms wheeze", US_national_yearly!$D:$AM, 23, FALSE) / VLOOKUP("electricity|NOx|Asthma symptoms wheeze", US_national_yearly!$D:$AM, 10, FALSE), 1)</f>
        <v>1.183409535874161E-2</v>
      </c>
      <c r="P8" s="7">
        <f>$B8 * IFERROR(VLOOKUP("electricity|NOx|Asthma symptoms wheeze", US_national_yearly!$D:$AM, 24, FALSE) / VLOOKUP("electricity|NOx|Asthma symptoms wheeze", US_national_yearly!$D:$AM, 10, FALSE), 1)</f>
        <v>1.1883235801151949E-2</v>
      </c>
      <c r="Q8" s="7">
        <f>$B8 * IFERROR(VLOOKUP("electricity|NOx|Asthma symptoms wheeze", US_national_yearly!$D:$AM, 25, FALSE) / VLOOKUP("electricity|NOx|Asthma symptoms wheeze", US_national_yearly!$D:$AM, 10, FALSE), 1)</f>
        <v>1.1932376243562286E-2</v>
      </c>
      <c r="R8" s="7">
        <f>$B8 * IFERROR(VLOOKUP("electricity|NOx|Asthma symptoms wheeze", US_national_yearly!$D:$AM, 26, FALSE) / VLOOKUP("electricity|NOx|Asthma symptoms wheeze", US_national_yearly!$D:$AM, 10, FALSE), 1)</f>
        <v>1.1981516685972624E-2</v>
      </c>
      <c r="S8" s="7">
        <f>$B8 * IFERROR(VLOOKUP("electricity|NOx|Asthma symptoms wheeze", US_national_yearly!$D:$AM, 27, FALSE) / VLOOKUP("electricity|NOx|Asthma symptoms wheeze", US_national_yearly!$D:$AM, 10, FALSE), 1)</f>
        <v>1.2042823913137756E-2</v>
      </c>
      <c r="T8" s="7">
        <f>$B8 * IFERROR(VLOOKUP("electricity|NOx|Asthma symptoms wheeze", US_national_yearly!$D:$AM, 28, FALSE) / VLOOKUP("electricity|NOx|Asthma symptoms wheeze", US_national_yearly!$D:$AM, 10, FALSE), 1)</f>
        <v>1.2104131140302888E-2</v>
      </c>
      <c r="U8" s="7">
        <f>$B8 * IFERROR(VLOOKUP("electricity|NOx|Asthma symptoms wheeze", US_national_yearly!$D:$AM, 29, FALSE) / VLOOKUP("electricity|NOx|Asthma symptoms wheeze", US_national_yearly!$D:$AM, 10, FALSE), 1)</f>
        <v>1.2165438367468017E-2</v>
      </c>
      <c r="V8" s="7">
        <f>$B8 * IFERROR(VLOOKUP("electricity|NOx|Asthma symptoms wheeze", US_national_yearly!$D:$AM, 30, FALSE) / VLOOKUP("electricity|NOx|Asthma symptoms wheeze", US_national_yearly!$D:$AM, 10, FALSE), 1)</f>
        <v>1.2226745594633149E-2</v>
      </c>
      <c r="W8" s="7">
        <f>$B8 * IFERROR(VLOOKUP("electricity|NOx|Asthma symptoms wheeze", US_national_yearly!$D:$AM, 31, FALSE) / VLOOKUP("electricity|NOx|Asthma symptoms wheeze", US_national_yearly!$D:$AM, 10, FALSE), 1)</f>
        <v>1.2288052821798279E-2</v>
      </c>
      <c r="X8" s="7">
        <f>$B8 * IFERROR(VLOOKUP("electricity|NOx|Asthma symptoms wheeze", US_national_yearly!$D:$AM, 32, FALSE) / VLOOKUP("electricity|NOx|Asthma symptoms wheeze", US_national_yearly!$D:$AM, 10, FALSE), 1)</f>
        <v>1.2344535579412603E-2</v>
      </c>
      <c r="Y8" s="7">
        <f>$B8 * IFERROR(VLOOKUP("electricity|NOx|Asthma symptoms wheeze", US_national_yearly!$D:$AM, 33, FALSE) / VLOOKUP("electricity|NOx|Asthma symptoms wheeze", US_national_yearly!$D:$AM, 10, FALSE), 1)</f>
        <v>1.2401018337026927E-2</v>
      </c>
      <c r="Z8" s="7">
        <f>$B8 * IFERROR(VLOOKUP("electricity|NOx|Asthma symptoms wheeze", US_national_yearly!$D:$AM, 34, FALSE) / VLOOKUP("electricity|NOx|Asthma symptoms wheeze", US_national_yearly!$D:$AM, 10, FALSE), 1)</f>
        <v>1.2457501094641249E-2</v>
      </c>
      <c r="AA8" s="7">
        <f>$B8 * IFERROR(VLOOKUP("electricity|NOx|Asthma symptoms wheeze", US_national_yearly!$D:$AM, 35, FALSE) / VLOOKUP("electricity|NOx|Asthma symptoms wheeze", US_national_yearly!$D:$AM, 10, FALSE), 1)</f>
        <v>1.2513983852255573E-2</v>
      </c>
      <c r="AB8" s="7">
        <f>$B8 * IFERROR(VLOOKUP("electricity|NOx|Asthma symptoms wheeze", US_national_yearly!$D:$AM, 36, FALSE) / VLOOKUP("electricity|NOx|Asthma symptoms wheeze", US_national_yearly!$D:$AM, 10, FALSE), 1)</f>
        <v>1.2570466609869897E-2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1.6762041821944169E-4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1.719134570958946E-4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1.7620649597234754E-4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1.8049953484880046E-4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1.8479257372525332E-4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1.8892528599486649E-4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1.9305799826447971E-4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1.9661179082480551E-4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2.0016558338513131E-4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2.0371937594545716E-4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2.0727316850578295E-4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2.1082696106610878E-4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2.1326241973299896E-4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2.1569787839988917E-4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2.1813333706677935E-4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2.2056879573366953E-4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2.2300425440055974E-4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2.2439132581025597E-4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2.2577839721995224E-4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2.2716546862964844E-4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2.2855254003934471E-4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2.2993961144904094E-4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2.3094849172553385E-4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2.3195737200202671E-4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2.3296625227851964E-4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2.3397513255501255E-4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2.3498401283150543E-4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9.8357187124761152E-4</v>
      </c>
      <c r="C13" s="7">
        <f>$B13 * IFERROR(VLOOKUP("electricity|NOx|Non-fatal heart attacks", US_national_yearly!$D:$AM, 11, FALSE) / VLOOKUP("electricity|NOx|Non-fatal heart attacks", US_national_yearly!$D:$AM, 10, FALSE), 1)</f>
        <v>1.0117976742616195E-3</v>
      </c>
      <c r="D13" s="7">
        <f>$B13 * IFERROR(VLOOKUP("electricity|NOx|Non-fatal heart attacks", US_national_yearly!$D:$AM, 12, FALSE) / VLOOKUP("electricity|NOx|Non-fatal heart attacks", US_national_yearly!$D:$AM, 10, FALSE), 1)</f>
        <v>1.0400234772756274E-3</v>
      </c>
      <c r="E13" s="7">
        <f>$B13 * IFERROR(VLOOKUP("electricity|NOx|Non-fatal heart attacks", US_national_yearly!$D:$AM, 13, FALSE) / VLOOKUP("electricity|NOx|Non-fatal heart attacks", US_national_yearly!$D:$AM, 10, FALSE), 1)</f>
        <v>1.0682492802896351E-3</v>
      </c>
      <c r="F13" s="7">
        <f>$B13 * IFERROR(VLOOKUP("electricity|NOx|Non-fatal heart attacks", US_national_yearly!$D:$AM, 14, FALSE) / VLOOKUP("electricity|NOx|Non-fatal heart attacks", US_national_yearly!$D:$AM, 10, FALSE), 1)</f>
        <v>1.0964750833036432E-3</v>
      </c>
      <c r="G13" s="7">
        <f>$B13 * IFERROR(VLOOKUP("electricity|NOx|Non-fatal heart attacks", US_national_yearly!$D:$AM, 15, FALSE) / VLOOKUP("electricity|NOx|Non-fatal heart attacks", US_national_yearly!$D:$AM, 10, FALSE), 1)</f>
        <v>1.1230648727202073E-3</v>
      </c>
      <c r="H13" s="7">
        <f>$B13 * IFERROR(VLOOKUP("electricity|NOx|Non-fatal heart attacks", US_national_yearly!$D:$AM, 16, FALSE) / VLOOKUP("electricity|NOx|Non-fatal heart attacks", US_national_yearly!$D:$AM, 10, FALSE), 1)</f>
        <v>1.1496546621367714E-3</v>
      </c>
      <c r="I13" s="7">
        <f>$B13 * IFERROR(VLOOKUP("electricity|NOx|Non-fatal heart attacks", US_national_yearly!$D:$AM, 17, FALSE) / VLOOKUP("electricity|NOx|Non-fatal heart attacks", US_national_yearly!$D:$AM, 10, FALSE), 1)</f>
        <v>1.1709769831780732E-3</v>
      </c>
      <c r="J13" s="7">
        <f>$B13 * IFERROR(VLOOKUP("electricity|NOx|Non-fatal heart attacks", US_national_yearly!$D:$AM, 18, FALSE) / VLOOKUP("electricity|NOx|Non-fatal heart attacks", US_national_yearly!$D:$AM, 10, FALSE), 1)</f>
        <v>1.1922993042193751E-3</v>
      </c>
      <c r="K13" s="7">
        <f>$B13 * IFERROR(VLOOKUP("electricity|NOx|Non-fatal heart attacks", US_national_yearly!$D:$AM, 19, FALSE) / VLOOKUP("electricity|NOx|Non-fatal heart attacks", US_national_yearly!$D:$AM, 10, FALSE), 1)</f>
        <v>1.2136216252606759E-3</v>
      </c>
      <c r="L13" s="7">
        <f>$B13 * IFERROR(VLOOKUP("electricity|NOx|Non-fatal heart attacks", US_national_yearly!$D:$AM, 20, FALSE) / VLOOKUP("electricity|NOx|Non-fatal heart attacks", US_national_yearly!$D:$AM, 10, FALSE), 1)</f>
        <v>1.2349439463019778E-3</v>
      </c>
      <c r="M13" s="7">
        <f>$B13 * IFERROR(VLOOKUP("electricity|NOx|Non-fatal heart attacks", US_national_yearly!$D:$AM, 21, FALSE) / VLOOKUP("electricity|NOx|Non-fatal heart attacks", US_national_yearly!$D:$AM, 10, FALSE), 1)</f>
        <v>1.2562662673432797E-3</v>
      </c>
      <c r="N13" s="7">
        <f>$B13 * IFERROR(VLOOKUP("electricity|NOx|Non-fatal heart attacks", US_national_yearly!$D:$AM, 22, FALSE) / VLOOKUP("electricity|NOx|Non-fatal heart attacks", US_national_yearly!$D:$AM, 10, FALSE), 1)</f>
        <v>1.2694161857528805E-3</v>
      </c>
      <c r="O13" s="7">
        <f>$B13 * IFERROR(VLOOKUP("electricity|NOx|Non-fatal heart attacks", US_national_yearly!$D:$AM, 23, FALSE) / VLOOKUP("electricity|NOx|Non-fatal heart attacks", US_national_yearly!$D:$AM, 10, FALSE), 1)</f>
        <v>1.2825661041624818E-3</v>
      </c>
      <c r="P13" s="7">
        <f>$B13 * IFERROR(VLOOKUP("electricity|NOx|Non-fatal heart attacks", US_national_yearly!$D:$AM, 24, FALSE) / VLOOKUP("electricity|NOx|Non-fatal heart attacks", US_national_yearly!$D:$AM, 10, FALSE), 1)</f>
        <v>1.2957160225720828E-3</v>
      </c>
      <c r="Q13" s="7">
        <f>$B13 * IFERROR(VLOOKUP("electricity|NOx|Non-fatal heart attacks", US_national_yearly!$D:$AM, 25, FALSE) / VLOOKUP("electricity|NOx|Non-fatal heart attacks", US_national_yearly!$D:$AM, 10, FALSE), 1)</f>
        <v>1.3088659409816838E-3</v>
      </c>
      <c r="R13" s="7">
        <f>$B13 * IFERROR(VLOOKUP("electricity|NOx|Non-fatal heart attacks", US_national_yearly!$D:$AM, 26, FALSE) / VLOOKUP("electricity|NOx|Non-fatal heart attacks", US_national_yearly!$D:$AM, 10, FALSE), 1)</f>
        <v>1.3220158593912849E-3</v>
      </c>
      <c r="S13" s="7">
        <f>$B13 * IFERROR(VLOOKUP("electricity|NOx|Non-fatal heart attacks", US_national_yearly!$D:$AM, 27, FALSE) / VLOOKUP("electricity|NOx|Non-fatal heart attacks", US_national_yearly!$D:$AM, 10, FALSE), 1)</f>
        <v>1.3284408657170379E-3</v>
      </c>
      <c r="T13" s="7">
        <f>$B13 * IFERROR(VLOOKUP("electricity|NOx|Non-fatal heart attacks", US_national_yearly!$D:$AM, 28, FALSE) / VLOOKUP("electricity|NOx|Non-fatal heart attacks", US_national_yearly!$D:$AM, 10, FALSE), 1)</f>
        <v>1.3348658720427908E-3</v>
      </c>
      <c r="U13" s="7">
        <f>$B13 * IFERROR(VLOOKUP("electricity|NOx|Non-fatal heart attacks", US_national_yearly!$D:$AM, 29, FALSE) / VLOOKUP("electricity|NOx|Non-fatal heart attacks", US_national_yearly!$D:$AM, 10, FALSE), 1)</f>
        <v>1.3412908783685443E-3</v>
      </c>
      <c r="V13" s="7">
        <f>$B13 * IFERROR(VLOOKUP("electricity|NOx|Non-fatal heart attacks", US_national_yearly!$D:$AM, 30, FALSE) / VLOOKUP("electricity|NOx|Non-fatal heart attacks", US_national_yearly!$D:$AM, 10, FALSE), 1)</f>
        <v>1.3477158846942972E-3</v>
      </c>
      <c r="W13" s="7">
        <f>$B13 * IFERROR(VLOOKUP("electricity|NOx|Non-fatal heart attacks", US_national_yearly!$D:$AM, 31, FALSE) / VLOOKUP("electricity|NOx|Non-fatal heart attacks", US_national_yearly!$D:$AM, 10, FALSE), 1)</f>
        <v>1.3541408910200505E-3</v>
      </c>
      <c r="X13" s="7">
        <f>$B13 * IFERROR(VLOOKUP("electricity|NOx|Non-fatal heart attacks", US_national_yearly!$D:$AM, 32, FALSE) / VLOOKUP("electricity|NOx|Non-fatal heart attacks", US_national_yearly!$D:$AM, 10, FALSE), 1)</f>
        <v>1.3586253746900678E-3</v>
      </c>
      <c r="Y13" s="7">
        <f>$B13 * IFERROR(VLOOKUP("electricity|NOx|Non-fatal heart attacks", US_national_yearly!$D:$AM, 33, FALSE) / VLOOKUP("electricity|NOx|Non-fatal heart attacks", US_national_yearly!$D:$AM, 10, FALSE), 1)</f>
        <v>1.3631098583600856E-3</v>
      </c>
      <c r="Z13" s="7">
        <f>$B13 * IFERROR(VLOOKUP("electricity|NOx|Non-fatal heart attacks", US_national_yearly!$D:$AM, 34, FALSE) / VLOOKUP("electricity|NOx|Non-fatal heart attacks", US_national_yearly!$D:$AM, 10, FALSE), 1)</f>
        <v>1.3675943420301032E-3</v>
      </c>
      <c r="AA13" s="7">
        <f>$B13 * IFERROR(VLOOKUP("electricity|NOx|Non-fatal heart attacks", US_national_yearly!$D:$AM, 35, FALSE) / VLOOKUP("electricity|NOx|Non-fatal heart attacks", US_national_yearly!$D:$AM, 10, FALSE), 1)</f>
        <v>1.3720788257001206E-3</v>
      </c>
      <c r="AB13" s="7">
        <f>$B13 * IFERROR(VLOOKUP("electricity|NOx|Non-fatal heart attacks", US_national_yearly!$D:$AM, 36, FALSE) / VLOOKUP("electricity|NOx|Non-fatal heart attacks", US_national_yearly!$D:$AM, 10, FALSE), 1)</f>
        <v>1.3765633093701384E-3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0.62807287452503724</v>
      </c>
      <c r="C14" s="7">
        <f>$B14 * IFERROR(VLOOKUP("electricity|NOx|Minor restricted activity days", US_national_yearly!$D:$AM, 11, FALSE) / VLOOKUP("electricity|NOx|Minor restricted activity days", US_national_yearly!$D:$AM, 10, FALSE), 1)</f>
        <v>0.62903584737533924</v>
      </c>
      <c r="D14" s="7">
        <f>$B14 * IFERROR(VLOOKUP("electricity|NOx|Minor restricted activity days", US_national_yearly!$D:$AM, 12, FALSE) / VLOOKUP("electricity|NOx|Minor restricted activity days", US_national_yearly!$D:$AM, 10, FALSE), 1)</f>
        <v>0.62999882022564135</v>
      </c>
      <c r="E14" s="7">
        <f>$B14 * IFERROR(VLOOKUP("electricity|NOx|Minor restricted activity days", US_national_yearly!$D:$AM, 13, FALSE) / VLOOKUP("electricity|NOx|Minor restricted activity days", US_national_yearly!$D:$AM, 10, FALSE), 1)</f>
        <v>0.63096179307594336</v>
      </c>
      <c r="F14" s="7">
        <f>$B14 * IFERROR(VLOOKUP("electricity|NOx|Minor restricted activity days", US_national_yearly!$D:$AM, 14, FALSE) / VLOOKUP("electricity|NOx|Minor restricted activity days", US_national_yearly!$D:$AM, 10, FALSE), 1)</f>
        <v>0.63192476592624558</v>
      </c>
      <c r="G14" s="7">
        <f>$B14 * IFERROR(VLOOKUP("electricity|NOx|Minor restricted activity days", US_national_yearly!$D:$AM, 15, FALSE) / VLOOKUP("electricity|NOx|Minor restricted activity days", US_national_yearly!$D:$AM, 10, FALSE), 1)</f>
        <v>0.63360452709540793</v>
      </c>
      <c r="H14" s="7">
        <f>$B14 * IFERROR(VLOOKUP("electricity|NOx|Minor restricted activity days", US_national_yearly!$D:$AM, 16, FALSE) / VLOOKUP("electricity|NOx|Minor restricted activity days", US_national_yearly!$D:$AM, 10, FALSE), 1)</f>
        <v>0.63528428826457006</v>
      </c>
      <c r="I14" s="7">
        <f>$B14 * IFERROR(VLOOKUP("electricity|NOx|Minor restricted activity days", US_national_yearly!$D:$AM, 17, FALSE) / VLOOKUP("electricity|NOx|Minor restricted activity days", US_national_yearly!$D:$AM, 10, FALSE), 1)</f>
        <v>0.63860768436216453</v>
      </c>
      <c r="J14" s="7">
        <f>$B14 * IFERROR(VLOOKUP("electricity|NOx|Minor restricted activity days", US_national_yearly!$D:$AM, 18, FALSE) / VLOOKUP("electricity|NOx|Minor restricted activity days", US_national_yearly!$D:$AM, 10, FALSE), 1)</f>
        <v>0.64193108045975877</v>
      </c>
      <c r="K14" s="7">
        <f>$B14 * IFERROR(VLOOKUP("electricity|NOx|Minor restricted activity days", US_national_yearly!$D:$AM, 19, FALSE) / VLOOKUP("electricity|NOx|Minor restricted activity days", US_national_yearly!$D:$AM, 10, FALSE), 1)</f>
        <v>0.64525447655735335</v>
      </c>
      <c r="L14" s="7">
        <f>$B14 * IFERROR(VLOOKUP("electricity|NOx|Minor restricted activity days", US_national_yearly!$D:$AM, 20, FALSE) / VLOOKUP("electricity|NOx|Minor restricted activity days", US_national_yearly!$D:$AM, 10, FALSE), 1)</f>
        <v>0.6485778726549476</v>
      </c>
      <c r="M14" s="7">
        <f>$B14 * IFERROR(VLOOKUP("electricity|NOx|Minor restricted activity days", US_national_yearly!$D:$AM, 21, FALSE) / VLOOKUP("electricity|NOx|Minor restricted activity days", US_national_yearly!$D:$AM, 10, FALSE), 1)</f>
        <v>0.65190126875254206</v>
      </c>
      <c r="N14" s="7">
        <f>$B14 * IFERROR(VLOOKUP("electricity|NOx|Minor restricted activity days", US_national_yearly!$D:$AM, 22, FALSE) / VLOOKUP("electricity|NOx|Minor restricted activity days", US_national_yearly!$D:$AM, 10, FALSE), 1)</f>
        <v>0.65670717874257789</v>
      </c>
      <c r="O14" s="7">
        <f>$B14 * IFERROR(VLOOKUP("electricity|NOx|Minor restricted activity days", US_national_yearly!$D:$AM, 23, FALSE) / VLOOKUP("electricity|NOx|Minor restricted activity days", US_national_yearly!$D:$AM, 10, FALSE), 1)</f>
        <v>0.6615130887326135</v>
      </c>
      <c r="P14" s="7">
        <f>$B14 * IFERROR(VLOOKUP("electricity|NOx|Minor restricted activity days", US_national_yearly!$D:$AM, 24, FALSE) / VLOOKUP("electricity|NOx|Minor restricted activity days", US_national_yearly!$D:$AM, 10, FALSE), 1)</f>
        <v>0.6663189987226491</v>
      </c>
      <c r="Q14" s="7">
        <f>$B14 * IFERROR(VLOOKUP("electricity|NOx|Minor restricted activity days", US_national_yearly!$D:$AM, 25, FALSE) / VLOOKUP("electricity|NOx|Minor restricted activity days", US_national_yearly!$D:$AM, 10, FALSE), 1)</f>
        <v>0.67112490871268493</v>
      </c>
      <c r="R14" s="7">
        <f>$B14 * IFERROR(VLOOKUP("electricity|NOx|Minor restricted activity days", US_national_yearly!$D:$AM, 26, FALSE) / VLOOKUP("electricity|NOx|Minor restricted activity days", US_national_yearly!$D:$AM, 10, FALSE), 1)</f>
        <v>0.67593081870272065</v>
      </c>
      <c r="S14" s="7">
        <f>$B14 * IFERROR(VLOOKUP("electricity|NOx|Minor restricted activity days", US_national_yearly!$D:$AM, 27, FALSE) / VLOOKUP("electricity|NOx|Minor restricted activity days", US_national_yearly!$D:$AM, 10, FALSE), 1)</f>
        <v>0.68077307253357966</v>
      </c>
      <c r="T14" s="7">
        <f>$B14 * IFERROR(VLOOKUP("electricity|NOx|Minor restricted activity days", US_national_yearly!$D:$AM, 28, FALSE) / VLOOKUP("electricity|NOx|Minor restricted activity days", US_national_yearly!$D:$AM, 10, FALSE), 1)</f>
        <v>0.68561532636443867</v>
      </c>
      <c r="U14" s="7">
        <f>$B14 * IFERROR(VLOOKUP("electricity|NOx|Minor restricted activity days", US_national_yearly!$D:$AM, 29, FALSE) / VLOOKUP("electricity|NOx|Minor restricted activity days", US_national_yearly!$D:$AM, 10, FALSE), 1)</f>
        <v>0.69045758019529768</v>
      </c>
      <c r="V14" s="7">
        <f>$B14 * IFERROR(VLOOKUP("electricity|NOx|Minor restricted activity days", US_national_yearly!$D:$AM, 30, FALSE) / VLOOKUP("electricity|NOx|Minor restricted activity days", US_national_yearly!$D:$AM, 10, FALSE), 1)</f>
        <v>0.69529983402615669</v>
      </c>
      <c r="W14" s="7">
        <f>$B14 * IFERROR(VLOOKUP("electricity|NOx|Minor restricted activity days", US_national_yearly!$D:$AM, 31, FALSE) / VLOOKUP("electricity|NOx|Minor restricted activity days", US_national_yearly!$D:$AM, 10, FALSE), 1)</f>
        <v>0.7001420878570157</v>
      </c>
      <c r="X14" s="7">
        <f>$B14 * IFERROR(VLOOKUP("electricity|NOx|Minor restricted activity days", US_national_yearly!$D:$AM, 32, FALSE) / VLOOKUP("electricity|NOx|Minor restricted activity days", US_national_yearly!$D:$AM, 10, FALSE), 1)</f>
        <v>0.70423719958574771</v>
      </c>
      <c r="Y14" s="7">
        <f>$B14 * IFERROR(VLOOKUP("electricity|NOx|Minor restricted activity days", US_national_yearly!$D:$AM, 33, FALSE) / VLOOKUP("electricity|NOx|Minor restricted activity days", US_national_yearly!$D:$AM, 10, FALSE), 1)</f>
        <v>0.70833231131447927</v>
      </c>
      <c r="Z14" s="7">
        <f>$B14 * IFERROR(VLOOKUP("electricity|NOx|Minor restricted activity days", US_national_yearly!$D:$AM, 34, FALSE) / VLOOKUP("electricity|NOx|Minor restricted activity days", US_national_yearly!$D:$AM, 10, FALSE), 1)</f>
        <v>0.71242742304321183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0.71652253477194372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0.72061764650067561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0.10586709164991218</v>
      </c>
      <c r="C15" s="7">
        <f>$B15 * IFERROR(VLOOKUP("electricity|NOx|Work loss days", US_national_yearly!$D:$AM, 11, FALSE) / VLOOKUP("electricity|NOx|Work loss days", US_national_yearly!$D:$AM, 10, FALSE), 1)</f>
        <v>0.10610321310122837</v>
      </c>
      <c r="D15" s="7">
        <f>$B15 * IFERROR(VLOOKUP("electricity|NOx|Work loss days", US_national_yearly!$D:$AM, 12, FALSE) / VLOOKUP("electricity|NOx|Work loss days", US_national_yearly!$D:$AM, 10, FALSE), 1)</f>
        <v>0.10633933455254457</v>
      </c>
      <c r="E15" s="7">
        <f>$B15 * IFERROR(VLOOKUP("electricity|NOx|Work loss days", US_national_yearly!$D:$AM, 13, FALSE) / VLOOKUP("electricity|NOx|Work loss days", US_national_yearly!$D:$AM, 10, FALSE), 1)</f>
        <v>0.10657545600386077</v>
      </c>
      <c r="F15" s="7">
        <f>$B15 * IFERROR(VLOOKUP("electricity|NOx|Work loss days", US_national_yearly!$D:$AM, 14, FALSE) / VLOOKUP("electricity|NOx|Work loss days", US_national_yearly!$D:$AM, 10, FALSE), 1)</f>
        <v>0.10681157745517697</v>
      </c>
      <c r="G15" s="7">
        <f>$B15 * IFERROR(VLOOKUP("electricity|NOx|Work loss days", US_national_yearly!$D:$AM, 15, FALSE) / VLOOKUP("electricity|NOx|Work loss days", US_national_yearly!$D:$AM, 10, FALSE), 1)</f>
        <v>0.1071444545726191</v>
      </c>
      <c r="H15" s="7">
        <f>$B15 * IFERROR(VLOOKUP("electricity|NOx|Work loss days", US_national_yearly!$D:$AM, 16, FALSE) / VLOOKUP("electricity|NOx|Work loss days", US_national_yearly!$D:$AM, 10, FALSE), 1)</f>
        <v>0.10747733169006123</v>
      </c>
      <c r="I15" s="7">
        <f>$B15 * IFERROR(VLOOKUP("electricity|NOx|Work loss days", US_national_yearly!$D:$AM, 17, FALSE) / VLOOKUP("electricity|NOx|Work loss days", US_national_yearly!$D:$AM, 10, FALSE), 1)</f>
        <v>0.10801783476874487</v>
      </c>
      <c r="J15" s="7">
        <f>$B15 * IFERROR(VLOOKUP("electricity|NOx|Work loss days", US_national_yearly!$D:$AM, 18, FALSE) / VLOOKUP("electricity|NOx|Work loss days", US_national_yearly!$D:$AM, 10, FALSE), 1)</f>
        <v>0.10855833784742851</v>
      </c>
      <c r="K15" s="7">
        <f>$B15 * IFERROR(VLOOKUP("electricity|NOx|Work loss days", US_national_yearly!$D:$AM, 19, FALSE) / VLOOKUP("electricity|NOx|Work loss days", US_national_yearly!$D:$AM, 10, FALSE), 1)</f>
        <v>0.10909884092611212</v>
      </c>
      <c r="L15" s="7">
        <f>$B15 * IFERROR(VLOOKUP("electricity|NOx|Work loss days", US_national_yearly!$D:$AM, 20, FALSE) / VLOOKUP("electricity|NOx|Work loss days", US_national_yearly!$D:$AM, 10, FALSE), 1)</f>
        <v>0.10963934400479573</v>
      </c>
      <c r="M15" s="7">
        <f>$B15 * IFERROR(VLOOKUP("electricity|NOx|Work loss days", US_national_yearly!$D:$AM, 21, FALSE) / VLOOKUP("electricity|NOx|Work loss days", US_national_yearly!$D:$AM, 10, FALSE), 1)</f>
        <v>0.11017984708347935</v>
      </c>
      <c r="N15" s="7">
        <f>$B15 * IFERROR(VLOOKUP("electricity|NOx|Work loss days", US_national_yearly!$D:$AM, 22, FALSE) / VLOOKUP("electricity|NOx|Work loss days", US_national_yearly!$D:$AM, 10, FALSE), 1)</f>
        <v>0.11089297012372103</v>
      </c>
      <c r="O15" s="7">
        <f>$B15 * IFERROR(VLOOKUP("electricity|NOx|Work loss days", US_national_yearly!$D:$AM, 23, FALSE) / VLOOKUP("electricity|NOx|Work loss days", US_national_yearly!$D:$AM, 10, FALSE), 1)</f>
        <v>0.11160609316396267</v>
      </c>
      <c r="P15" s="7">
        <f>$B15 * IFERROR(VLOOKUP("electricity|NOx|Work loss days", US_national_yearly!$D:$AM, 24, FALSE) / VLOOKUP("electricity|NOx|Work loss days", US_national_yearly!$D:$AM, 10, FALSE), 1)</f>
        <v>0.11231921620420433</v>
      </c>
      <c r="Q15" s="7">
        <f>$B15 * IFERROR(VLOOKUP("electricity|NOx|Work loss days", US_national_yearly!$D:$AM, 25, FALSE) / VLOOKUP("electricity|NOx|Work loss days", US_national_yearly!$D:$AM, 10, FALSE), 1)</f>
        <v>0.113032339244446</v>
      </c>
      <c r="R15" s="7">
        <f>$B15 * IFERROR(VLOOKUP("electricity|NOx|Work loss days", US_national_yearly!$D:$AM, 26, FALSE) / VLOOKUP("electricity|NOx|Work loss days", US_national_yearly!$D:$AM, 10, FALSE), 1)</f>
        <v>0.11374546228468763</v>
      </c>
      <c r="S15" s="7">
        <f>$B15 * IFERROR(VLOOKUP("electricity|NOx|Work loss days", US_national_yearly!$D:$AM, 27, FALSE) / VLOOKUP("electricity|NOx|Work loss days", US_national_yearly!$D:$AM, 10, FALSE), 1)</f>
        <v>0.11454460746046641</v>
      </c>
      <c r="T15" s="7">
        <f>$B15 * IFERROR(VLOOKUP("electricity|NOx|Work loss days", US_national_yearly!$D:$AM, 28, FALSE) / VLOOKUP("electricity|NOx|Work loss days", US_national_yearly!$D:$AM, 10, FALSE), 1)</f>
        <v>0.11534375263624515</v>
      </c>
      <c r="U15" s="7">
        <f>$B15 * IFERROR(VLOOKUP("electricity|NOx|Work loss days", US_national_yearly!$D:$AM, 29, FALSE) / VLOOKUP("electricity|NOx|Work loss days", US_national_yearly!$D:$AM, 10, FALSE), 1)</f>
        <v>0.1161428978120239</v>
      </c>
      <c r="V15" s="7">
        <f>$B15 * IFERROR(VLOOKUP("electricity|NOx|Work loss days", US_national_yearly!$D:$AM, 30, FALSE) / VLOOKUP("electricity|NOx|Work loss days", US_national_yearly!$D:$AM, 10, FALSE), 1)</f>
        <v>0.11694204298780266</v>
      </c>
      <c r="W15" s="7">
        <f>$B15 * IFERROR(VLOOKUP("electricity|NOx|Work loss days", US_national_yearly!$D:$AM, 31, FALSE) / VLOOKUP("electricity|NOx|Work loss days", US_national_yearly!$D:$AM, 10, FALSE), 1)</f>
        <v>0.11774118816358142</v>
      </c>
      <c r="X15" s="7">
        <f>$B15 * IFERROR(VLOOKUP("electricity|NOx|Work loss days", US_national_yearly!$D:$AM, 32, FALSE) / VLOOKUP("electricity|NOx|Work loss days", US_national_yearly!$D:$AM, 10, FALSE), 1)</f>
        <v>0.118437806473326</v>
      </c>
      <c r="Y15" s="7">
        <f>$B15 * IFERROR(VLOOKUP("electricity|NOx|Work loss days", US_national_yearly!$D:$AM, 33, FALSE) / VLOOKUP("electricity|NOx|Work loss days", US_national_yearly!$D:$AM, 10, FALSE), 1)</f>
        <v>0.11913442478307058</v>
      </c>
      <c r="Z15" s="7">
        <f>$B15 * IFERROR(VLOOKUP("electricity|NOx|Work loss days", US_national_yearly!$D:$AM, 34, FALSE) / VLOOKUP("electricity|NOx|Work loss days", US_national_yearly!$D:$AM, 10, FALSE), 1)</f>
        <v>0.11983104309281516</v>
      </c>
      <c r="AA15" s="7">
        <f>$B15 * IFERROR(VLOOKUP("electricity|NOx|Work loss days", US_national_yearly!$D:$AM, 35, FALSE) / VLOOKUP("electricity|NOx|Work loss days", US_national_yearly!$D:$AM, 10, FALSE), 1)</f>
        <v>0.12052766140255976</v>
      </c>
      <c r="AB15" s="7">
        <f>$B15 * IFERROR(VLOOKUP("electricity|NOx|Work loss days", US_national_yearly!$D:$AM, 36, FALSE) / VLOOKUP("electricity|NOx|Work loss days", US_national_yearly!$D:$AM, 10, FALSE), 1)</f>
        <v>0.12122427971230433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2.4690250232505776E-4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2.5417541882338628E-4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2.6144833532171485E-4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2.6872125182004342E-4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2.7599416831837199E-4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2.8295855055938799E-4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2.89922932800404E-4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2.9586739055790351E-4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3.0181184831540303E-4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3.077563060729026E-4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3.1370076383040212E-4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3.1964522158790164E-4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3.2346020886772143E-4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3.2727519614754122E-4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3.3109018342736106E-4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3.3490517070718085E-4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3.3872015798700063E-4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3.4059758045966405E-4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3.4247500293232741E-4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3.4435242540499083E-4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3.4622984787765424E-4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3.4810727035031766E-4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3.492324809495065E-4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3.503576915486954E-4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3.5148290214788425E-4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3.5260811274707309E-4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3.5373332334626194E-4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1.1353295958787294E-3</v>
      </c>
      <c r="C2" s="7">
        <f>$B2 * IFERROR(VLOOKUP("electricity|SO2|Premature mortality", US_national_yearly!$D:$AM, 11, FALSE) / VLOOKUP("electricity|SO2|Premature mortality", US_national_yearly!$D:$AM, 10, FALSE), 1)</f>
        <v>1.1498847832258257E-3</v>
      </c>
      <c r="D2" s="7">
        <f>$B2 * IFERROR(VLOOKUP("electricity|SO2|Premature mortality", US_national_yearly!$D:$AM, 12, FALSE) / VLOOKUP("electricity|SO2|Premature mortality", US_national_yearly!$D:$AM, 10, FALSE), 1)</f>
        <v>1.1644399705729217E-3</v>
      </c>
      <c r="E2" s="7">
        <f>$B2 * IFERROR(VLOOKUP("electricity|SO2|Premature mortality", US_national_yearly!$D:$AM, 13, FALSE) / VLOOKUP("electricity|SO2|Premature mortality", US_national_yearly!$D:$AM, 10, FALSE), 1)</f>
        <v>1.1789951579200179E-3</v>
      </c>
      <c r="F2" s="7">
        <f>$B2 * IFERROR(VLOOKUP("electricity|SO2|Premature mortality", US_national_yearly!$D:$AM, 14, FALSE) / VLOOKUP("electricity|SO2|Premature mortality", US_national_yearly!$D:$AM, 10, FALSE), 1)</f>
        <v>1.193550345267114E-3</v>
      </c>
      <c r="G2" s="7">
        <f>$B2 * IFERROR(VLOOKUP("electricity|SO2|Premature mortality", US_national_yearly!$D:$AM, 15, FALSE) / VLOOKUP("electricity|SO2|Premature mortality", US_national_yearly!$D:$AM, 10, FALSE), 1)</f>
        <v>1.2215894741194346E-3</v>
      </c>
      <c r="H2" s="7">
        <f>$B2 * IFERROR(VLOOKUP("electricity|SO2|Premature mortality", US_national_yearly!$D:$AM, 16, FALSE) / VLOOKUP("electricity|SO2|Premature mortality", US_national_yearly!$D:$AM, 10, FALSE), 1)</f>
        <v>1.2496286029717548E-3</v>
      </c>
      <c r="I2" s="7">
        <f>$B2 * IFERROR(VLOOKUP("electricity|SO2|Premature mortality", US_national_yearly!$D:$AM, 17, FALSE) / VLOOKUP("electricity|SO2|Premature mortality", US_national_yearly!$D:$AM, 10, FALSE), 1)</f>
        <v>1.2685028093539147E-3</v>
      </c>
      <c r="J2" s="7">
        <f>$B2 * IFERROR(VLOOKUP("electricity|SO2|Premature mortality", US_national_yearly!$D:$AM, 18, FALSE) / VLOOKUP("electricity|SO2|Premature mortality", US_national_yearly!$D:$AM, 10, FALSE), 1)</f>
        <v>1.2873770157360747E-3</v>
      </c>
      <c r="K2" s="7">
        <f>$B2 * IFERROR(VLOOKUP("electricity|SO2|Premature mortality", US_national_yearly!$D:$AM, 19, FALSE) / VLOOKUP("electricity|SO2|Premature mortality", US_national_yearly!$D:$AM, 10, FALSE), 1)</f>
        <v>1.3062512221182344E-3</v>
      </c>
      <c r="L2" s="7">
        <f>$B2 * IFERROR(VLOOKUP("electricity|SO2|Premature mortality", US_national_yearly!$D:$AM, 20, FALSE) / VLOOKUP("electricity|SO2|Premature mortality", US_national_yearly!$D:$AM, 10, FALSE), 1)</f>
        <v>1.3251254285003946E-3</v>
      </c>
      <c r="M2" s="7">
        <f>$B2 * IFERROR(VLOOKUP("electricity|SO2|Premature mortality", US_national_yearly!$D:$AM, 21, FALSE) / VLOOKUP("electricity|SO2|Premature mortality", US_national_yearly!$D:$AM, 10, FALSE), 1)</f>
        <v>1.3439996348825543E-3</v>
      </c>
      <c r="N2" s="7">
        <f>$B2 * IFERROR(VLOOKUP("electricity|SO2|Premature mortality", US_national_yearly!$D:$AM, 22, FALSE) / VLOOKUP("electricity|SO2|Premature mortality", US_national_yearly!$D:$AM, 10, FALSE), 1)</f>
        <v>1.3591258069413192E-3</v>
      </c>
      <c r="O2" s="7">
        <f>$B2 * IFERROR(VLOOKUP("electricity|SO2|Premature mortality", US_national_yearly!$D:$AM, 23, FALSE) / VLOOKUP("electricity|SO2|Premature mortality", US_national_yearly!$D:$AM, 10, FALSE), 1)</f>
        <v>1.3742519790000845E-3</v>
      </c>
      <c r="P2" s="7">
        <f>$B2 * IFERROR(VLOOKUP("electricity|SO2|Premature mortality", US_national_yearly!$D:$AM, 24, FALSE) / VLOOKUP("electricity|SO2|Premature mortality", US_national_yearly!$D:$AM, 10, FALSE), 1)</f>
        <v>1.3893781510588492E-3</v>
      </c>
      <c r="Q2" s="7">
        <f>$B2 * IFERROR(VLOOKUP("electricity|SO2|Premature mortality", US_national_yearly!$D:$AM, 25, FALSE) / VLOOKUP("electricity|SO2|Premature mortality", US_national_yearly!$D:$AM, 10, FALSE), 1)</f>
        <v>1.404504323117614E-3</v>
      </c>
      <c r="R2" s="7">
        <f>$B2 * IFERROR(VLOOKUP("electricity|SO2|Premature mortality", US_national_yearly!$D:$AM, 26, FALSE) / VLOOKUP("electricity|SO2|Premature mortality", US_national_yearly!$D:$AM, 10, FALSE), 1)</f>
        <v>1.4196304951763789E-3</v>
      </c>
      <c r="S2" s="7">
        <f>$B2 * IFERROR(VLOOKUP("electricity|SO2|Premature mortality", US_national_yearly!$D:$AM, 27, FALSE) / VLOOKUP("electricity|SO2|Premature mortality", US_national_yearly!$D:$AM, 10, FALSE), 1)</f>
        <v>1.4283027714462808E-3</v>
      </c>
      <c r="T2" s="7">
        <f>$B2 * IFERROR(VLOOKUP("electricity|SO2|Premature mortality", US_national_yearly!$D:$AM, 28, FALSE) / VLOOKUP("electricity|SO2|Premature mortality", US_national_yearly!$D:$AM, 10, FALSE), 1)</f>
        <v>1.4369750477161826E-3</v>
      </c>
      <c r="U2" s="7">
        <f>$B2 * IFERROR(VLOOKUP("electricity|SO2|Premature mortality", US_national_yearly!$D:$AM, 29, FALSE) / VLOOKUP("electricity|SO2|Premature mortality", US_national_yearly!$D:$AM, 10, FALSE), 1)</f>
        <v>1.4456473239860843E-3</v>
      </c>
      <c r="V2" s="7">
        <f>$B2 * IFERROR(VLOOKUP("electricity|SO2|Premature mortality", US_national_yearly!$D:$AM, 30, FALSE) / VLOOKUP("electricity|SO2|Premature mortality", US_national_yearly!$D:$AM, 10, FALSE), 1)</f>
        <v>1.4543196002559861E-3</v>
      </c>
      <c r="W2" s="7">
        <f>$B2 * IFERROR(VLOOKUP("electricity|SO2|Premature mortality", US_national_yearly!$D:$AM, 31, FALSE) / VLOOKUP("electricity|SO2|Premature mortality", US_national_yearly!$D:$AM, 10, FALSE), 1)</f>
        <v>1.462991876525888E-3</v>
      </c>
      <c r="X2" s="7">
        <f>$B2 * IFERROR(VLOOKUP("electricity|SO2|Premature mortality", US_national_yearly!$D:$AM, 32, FALSE) / VLOOKUP("electricity|SO2|Premature mortality", US_national_yearly!$D:$AM, 10, FALSE), 1)</f>
        <v>1.4655471251636167E-3</v>
      </c>
      <c r="Y2" s="7">
        <f>$B2 * IFERROR(VLOOKUP("electricity|SO2|Premature mortality", US_national_yearly!$D:$AM, 33, FALSE) / VLOOKUP("electricity|SO2|Premature mortality", US_national_yearly!$D:$AM, 10, FALSE), 1)</f>
        <v>1.4681023738013451E-3</v>
      </c>
      <c r="Z2" s="7">
        <f>$B2 * IFERROR(VLOOKUP("electricity|SO2|Premature mortality", US_national_yearly!$D:$AM, 34, FALSE) / VLOOKUP("electricity|SO2|Premature mortality", US_national_yearly!$D:$AM, 10, FALSE), 1)</f>
        <v>1.4706576224390738E-3</v>
      </c>
      <c r="AA2" s="7">
        <f>$B2 * IFERROR(VLOOKUP("electricity|SO2|Premature mortality", US_national_yearly!$D:$AM, 35, FALSE) / VLOOKUP("electricity|SO2|Premature mortality", US_national_yearly!$D:$AM, 10, FALSE), 1)</f>
        <v>1.4732128710768025E-3</v>
      </c>
      <c r="AB2" s="7">
        <f>$B2 * IFERROR(VLOOKUP("electricity|SO2|Premature mortality", US_national_yearly!$D:$AM, 36, FALSE) / VLOOKUP("electricity|SO2|Premature mortality", US_national_yearly!$D:$AM, 10, FALSE), 1)</f>
        <v>1.475768119714531E-3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3.0300141870915203E-6</v>
      </c>
      <c r="C3" s="7">
        <f>$B3 * IFERROR(VLOOKUP("electricity|SO2|Infant mortality", US_national_yearly!$D:$AM, 11, FALSE) / VLOOKUP("electricity|SO2|Infant mortality", US_national_yearly!$D:$AM, 10, FALSE), 1)</f>
        <v>3.0044163283745206E-6</v>
      </c>
      <c r="D3" s="7">
        <f>$B3 * IFERROR(VLOOKUP("electricity|SO2|Infant mortality", US_national_yearly!$D:$AM, 12, FALSE) / VLOOKUP("electricity|SO2|Infant mortality", US_national_yearly!$D:$AM, 10, FALSE), 1)</f>
        <v>2.9788184696575209E-6</v>
      </c>
      <c r="E3" s="7">
        <f>$B3 * IFERROR(VLOOKUP("electricity|SO2|Infant mortality", US_national_yearly!$D:$AM, 13, FALSE) / VLOOKUP("electricity|SO2|Infant mortality", US_national_yearly!$D:$AM, 10, FALSE), 1)</f>
        <v>2.9532206109405208E-6</v>
      </c>
      <c r="F3" s="7">
        <f>$B3 * IFERROR(VLOOKUP("electricity|SO2|Infant mortality", US_national_yearly!$D:$AM, 14, FALSE) / VLOOKUP("electricity|SO2|Infant mortality", US_national_yearly!$D:$AM, 10, FALSE), 1)</f>
        <v>2.9276227522235215E-6</v>
      </c>
      <c r="G3" s="7">
        <f>$B3 * IFERROR(VLOOKUP("electricity|SO2|Infant mortality", US_national_yearly!$D:$AM, 15, FALSE) / VLOOKUP("electricity|SO2|Infant mortality", US_national_yearly!$D:$AM, 10, FALSE), 1)</f>
        <v>1.9470207847958253E-6</v>
      </c>
      <c r="H3" s="7">
        <f>$B3 * IFERROR(VLOOKUP("electricity|SO2|Infant mortality", US_national_yearly!$D:$AM, 16, FALSE) / VLOOKUP("electricity|SO2|Infant mortality", US_national_yearly!$D:$AM, 10, FALSE), 1)</f>
        <v>9.6641881736812893E-7</v>
      </c>
      <c r="I3" s="7">
        <f>$B3 * IFERROR(VLOOKUP("electricity|SO2|Infant mortality", US_national_yearly!$D:$AM, 17, FALSE) / VLOOKUP("electricity|SO2|Infant mortality", US_national_yearly!$D:$AM, 10, FALSE), 1)</f>
        <v>9.6023617169431096E-7</v>
      </c>
      <c r="J3" s="7">
        <f>$B3 * IFERROR(VLOOKUP("electricity|SO2|Infant mortality", US_national_yearly!$D:$AM, 18, FALSE) / VLOOKUP("electricity|SO2|Infant mortality", US_national_yearly!$D:$AM, 10, FALSE), 1)</f>
        <v>9.5405352602049256E-7</v>
      </c>
      <c r="K3" s="7">
        <f>$B3 * IFERROR(VLOOKUP("electricity|SO2|Infant mortality", US_national_yearly!$D:$AM, 19, FALSE) / VLOOKUP("electricity|SO2|Infant mortality", US_national_yearly!$D:$AM, 10, FALSE), 1)</f>
        <v>9.478708803466748E-7</v>
      </c>
      <c r="L3" s="7">
        <f>$B3 * IFERROR(VLOOKUP("electricity|SO2|Infant mortality", US_national_yearly!$D:$AM, 20, FALSE) / VLOOKUP("electricity|SO2|Infant mortality", US_national_yearly!$D:$AM, 10, FALSE), 1)</f>
        <v>9.4168823467285651E-7</v>
      </c>
      <c r="M3" s="7">
        <f>$B3 * IFERROR(VLOOKUP("electricity|SO2|Infant mortality", US_national_yearly!$D:$AM, 21, FALSE) / VLOOKUP("electricity|SO2|Infant mortality", US_national_yearly!$D:$AM, 10, FALSE), 1)</f>
        <v>9.3550558899903854E-7</v>
      </c>
      <c r="N3" s="7">
        <f>$B3 * IFERROR(VLOOKUP("electricity|SO2|Infant mortality", US_national_yearly!$D:$AM, 22, FALSE) / VLOOKUP("electricity|SO2|Infant mortality", US_national_yearly!$D:$AM, 10, FALSE), 1)</f>
        <v>9.3158799072834664E-7</v>
      </c>
      <c r="O3" s="7">
        <f>$B3 * IFERROR(VLOOKUP("electricity|SO2|Infant mortality", US_national_yearly!$D:$AM, 23, FALSE) / VLOOKUP("electricity|SO2|Infant mortality", US_national_yearly!$D:$AM, 10, FALSE), 1)</f>
        <v>9.2767039245765454E-7</v>
      </c>
      <c r="P3" s="7">
        <f>$B3 * IFERROR(VLOOKUP("electricity|SO2|Infant mortality", US_national_yearly!$D:$AM, 24, FALSE) / VLOOKUP("electricity|SO2|Infant mortality", US_national_yearly!$D:$AM, 10, FALSE), 1)</f>
        <v>9.2375279418696253E-7</v>
      </c>
      <c r="Q3" s="7">
        <f>$B3 * IFERROR(VLOOKUP("electricity|SO2|Infant mortality", US_national_yearly!$D:$AM, 25, FALSE) / VLOOKUP("electricity|SO2|Infant mortality", US_national_yearly!$D:$AM, 10, FALSE), 1)</f>
        <v>9.1983519591627063E-7</v>
      </c>
      <c r="R3" s="7">
        <f>$B3 * IFERROR(VLOOKUP("electricity|SO2|Infant mortality", US_national_yearly!$D:$AM, 26, FALSE) / VLOOKUP("electricity|SO2|Infant mortality", US_national_yearly!$D:$AM, 10, FALSE), 1)</f>
        <v>9.1591759764557874E-7</v>
      </c>
      <c r="S3" s="7">
        <f>$B3 * IFERROR(VLOOKUP("electricity|SO2|Infant mortality", US_national_yearly!$D:$AM, 27, FALSE) / VLOOKUP("electricity|SO2|Infant mortality", US_national_yearly!$D:$AM, 10, FALSE), 1)</f>
        <v>9.1103480780324017E-7</v>
      </c>
      <c r="T3" s="7">
        <f>$B3 * IFERROR(VLOOKUP("electricity|SO2|Infant mortality", US_national_yearly!$D:$AM, 28, FALSE) / VLOOKUP("electricity|SO2|Infant mortality", US_national_yearly!$D:$AM, 10, FALSE), 1)</f>
        <v>9.0615201796090182E-7</v>
      </c>
      <c r="U3" s="7">
        <f>$B3 * IFERROR(VLOOKUP("electricity|SO2|Infant mortality", US_national_yearly!$D:$AM, 29, FALSE) / VLOOKUP("electricity|SO2|Infant mortality", US_national_yearly!$D:$AM, 10, FALSE), 1)</f>
        <v>9.0126922811856336E-7</v>
      </c>
      <c r="V3" s="7">
        <f>$B3 * IFERROR(VLOOKUP("electricity|SO2|Infant mortality", US_national_yearly!$D:$AM, 30, FALSE) / VLOOKUP("electricity|SO2|Infant mortality", US_national_yearly!$D:$AM, 10, FALSE), 1)</f>
        <v>8.9638643827622501E-7</v>
      </c>
      <c r="W3" s="7">
        <f>$B3 * IFERROR(VLOOKUP("electricity|SO2|Infant mortality", US_national_yearly!$D:$AM, 31, FALSE) / VLOOKUP("electricity|SO2|Infant mortality", US_national_yearly!$D:$AM, 10, FALSE), 1)</f>
        <v>8.9150364843388644E-7</v>
      </c>
      <c r="X3" s="7">
        <f>$B3 * IFERROR(VLOOKUP("electricity|SO2|Infant mortality", US_national_yearly!$D:$AM, 32, FALSE) / VLOOKUP("electricity|SO2|Infant mortality", US_national_yearly!$D:$AM, 10, FALSE), 1)</f>
        <v>8.8629385465932339E-7</v>
      </c>
      <c r="Y3" s="7">
        <f>$B3 * IFERROR(VLOOKUP("electricity|SO2|Infant mortality", US_national_yearly!$D:$AM, 33, FALSE) / VLOOKUP("electricity|SO2|Infant mortality", US_national_yearly!$D:$AM, 10, FALSE), 1)</f>
        <v>8.8108406088476002E-7</v>
      </c>
      <c r="Z3" s="7">
        <f>$B3 * IFERROR(VLOOKUP("electricity|SO2|Infant mortality", US_national_yearly!$D:$AM, 34, FALSE) / VLOOKUP("electricity|SO2|Infant mortality", US_national_yearly!$D:$AM, 10, FALSE), 1)</f>
        <v>8.7587426711019696E-7</v>
      </c>
      <c r="AA3" s="7">
        <f>$B3 * IFERROR(VLOOKUP("electricity|SO2|Infant mortality", US_national_yearly!$D:$AM, 35, FALSE) / VLOOKUP("electricity|SO2|Infant mortality", US_national_yearly!$D:$AM, 10, FALSE), 1)</f>
        <v>8.7066447333563391E-7</v>
      </c>
      <c r="AB3" s="7">
        <f>$B3 * IFERROR(VLOOKUP("electricity|SO2|Infant mortality", US_national_yearly!$D:$AM, 36, FALSE) / VLOOKUP("electricity|SO2|Infant mortality", US_national_yearly!$D:$AM, 10, FALSE), 1)</f>
        <v>8.6545467956107075E-7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2.564137303857687E-3</v>
      </c>
      <c r="C6" s="7">
        <f>$B6 * IFERROR(VLOOKUP("electricity|SO2|Asthma symptoms cough", US_national_yearly!$D:$AM, 11, FALSE) / VLOOKUP("electricity|SO2|Asthma symptoms cough", US_national_yearly!$D:$AM, 10, FALSE), 1)</f>
        <v>2.564137303857687E-3</v>
      </c>
      <c r="D6" s="7">
        <f>$B6 * IFERROR(VLOOKUP("electricity|SO2|Asthma symptoms cough", US_national_yearly!$D:$AM, 12, FALSE) / VLOOKUP("electricity|SO2|Asthma symptoms cough", US_national_yearly!$D:$AM, 10, FALSE), 1)</f>
        <v>2.564137303857687E-3</v>
      </c>
      <c r="E6" s="7">
        <f>$B6 * IFERROR(VLOOKUP("electricity|SO2|Asthma symptoms cough", US_national_yearly!$D:$AM, 13, FALSE) / VLOOKUP("electricity|SO2|Asthma symptoms cough", US_national_yearly!$D:$AM, 10, FALSE), 1)</f>
        <v>2.564137303857687E-3</v>
      </c>
      <c r="F6" s="7">
        <f>$B6 * IFERROR(VLOOKUP("electricity|SO2|Asthma symptoms cough", US_national_yearly!$D:$AM, 14, FALSE) / VLOOKUP("electricity|SO2|Asthma symptoms cough", US_national_yearly!$D:$AM, 10, FALSE), 1)</f>
        <v>2.564137303857687E-3</v>
      </c>
      <c r="G6" s="7">
        <f>$B6 * IFERROR(VLOOKUP("electricity|SO2|Asthma symptoms cough", US_national_yearly!$D:$AM, 15, FALSE) / VLOOKUP("electricity|SO2|Asthma symptoms cough", US_national_yearly!$D:$AM, 10, FALSE), 1)</f>
        <v>2.564137303857687E-3</v>
      </c>
      <c r="H6" s="7">
        <f>$B6 * IFERROR(VLOOKUP("electricity|SO2|Asthma symptoms cough", US_national_yearly!$D:$AM, 16, FALSE) / VLOOKUP("electricity|SO2|Asthma symptoms cough", US_national_yearly!$D:$AM, 10, FALSE), 1)</f>
        <v>2.564137303857687E-3</v>
      </c>
      <c r="I6" s="7">
        <f>$B6 * IFERROR(VLOOKUP("electricity|SO2|Asthma symptoms cough", US_national_yearly!$D:$AM, 17, FALSE) / VLOOKUP("electricity|SO2|Asthma symptoms cough", US_national_yearly!$D:$AM, 10, FALSE), 1)</f>
        <v>2.564137303857687E-3</v>
      </c>
      <c r="J6" s="7">
        <f>$B6 * IFERROR(VLOOKUP("electricity|SO2|Asthma symptoms cough", US_national_yearly!$D:$AM, 18, FALSE) / VLOOKUP("electricity|SO2|Asthma symptoms cough", US_national_yearly!$D:$AM, 10, FALSE), 1)</f>
        <v>2.564137303857687E-3</v>
      </c>
      <c r="K6" s="7">
        <f>$B6 * IFERROR(VLOOKUP("electricity|SO2|Asthma symptoms cough", US_national_yearly!$D:$AM, 19, FALSE) / VLOOKUP("electricity|SO2|Asthma symptoms cough", US_national_yearly!$D:$AM, 10, FALSE), 1)</f>
        <v>2.564137303857687E-3</v>
      </c>
      <c r="L6" s="7">
        <f>$B6 * IFERROR(VLOOKUP("electricity|SO2|Asthma symptoms cough", US_national_yearly!$D:$AM, 20, FALSE) / VLOOKUP("electricity|SO2|Asthma symptoms cough", US_national_yearly!$D:$AM, 10, FALSE), 1)</f>
        <v>2.564137303857687E-3</v>
      </c>
      <c r="M6" s="7">
        <f>$B6 * IFERROR(VLOOKUP("electricity|SO2|Asthma symptoms cough", US_national_yearly!$D:$AM, 21, FALSE) / VLOOKUP("electricity|SO2|Asthma symptoms cough", US_national_yearly!$D:$AM, 10, FALSE), 1)</f>
        <v>2.564137303857687E-3</v>
      </c>
      <c r="N6" s="7">
        <f>$B6 * IFERROR(VLOOKUP("electricity|SO2|Asthma symptoms cough", US_national_yearly!$D:$AM, 22, FALSE) / VLOOKUP("electricity|SO2|Asthma symptoms cough", US_national_yearly!$D:$AM, 10, FALSE), 1)</f>
        <v>2.564137303857687E-3</v>
      </c>
      <c r="O6" s="7">
        <f>$B6 * IFERROR(VLOOKUP("electricity|SO2|Asthma symptoms cough", US_national_yearly!$D:$AM, 23, FALSE) / VLOOKUP("electricity|SO2|Asthma symptoms cough", US_national_yearly!$D:$AM, 10, FALSE), 1)</f>
        <v>2.564137303857687E-3</v>
      </c>
      <c r="P6" s="7">
        <f>$B6 * IFERROR(VLOOKUP("electricity|SO2|Asthma symptoms cough", US_national_yearly!$D:$AM, 24, FALSE) / VLOOKUP("electricity|SO2|Asthma symptoms cough", US_national_yearly!$D:$AM, 10, FALSE), 1)</f>
        <v>2.564137303857687E-3</v>
      </c>
      <c r="Q6" s="7">
        <f>$B6 * IFERROR(VLOOKUP("electricity|SO2|Asthma symptoms cough", US_national_yearly!$D:$AM, 25, FALSE) / VLOOKUP("electricity|SO2|Asthma symptoms cough", US_national_yearly!$D:$AM, 10, FALSE), 1)</f>
        <v>2.564137303857687E-3</v>
      </c>
      <c r="R6" s="7">
        <f>$B6 * IFERROR(VLOOKUP("electricity|SO2|Asthma symptoms cough", US_national_yearly!$D:$AM, 26, FALSE) / VLOOKUP("electricity|SO2|Asthma symptoms cough", US_national_yearly!$D:$AM, 10, FALSE), 1)</f>
        <v>2.564137303857687E-3</v>
      </c>
      <c r="S6" s="7">
        <f>$B6 * IFERROR(VLOOKUP("electricity|SO2|Asthma symptoms cough", US_national_yearly!$D:$AM, 27, FALSE) / VLOOKUP("electricity|SO2|Asthma symptoms cough", US_national_yearly!$D:$AM, 10, FALSE), 1)</f>
        <v>2.564137303857687E-3</v>
      </c>
      <c r="T6" s="7">
        <f>$B6 * IFERROR(VLOOKUP("electricity|SO2|Asthma symptoms cough", US_national_yearly!$D:$AM, 28, FALSE) / VLOOKUP("electricity|SO2|Asthma symptoms cough", US_national_yearly!$D:$AM, 10, FALSE), 1)</f>
        <v>2.564137303857687E-3</v>
      </c>
      <c r="U6" s="7">
        <f>$B6 * IFERROR(VLOOKUP("electricity|SO2|Asthma symptoms cough", US_national_yearly!$D:$AM, 29, FALSE) / VLOOKUP("electricity|SO2|Asthma symptoms cough", US_national_yearly!$D:$AM, 10, FALSE), 1)</f>
        <v>2.564137303857687E-3</v>
      </c>
      <c r="V6" s="7">
        <f>$B6 * IFERROR(VLOOKUP("electricity|SO2|Asthma symptoms cough", US_national_yearly!$D:$AM, 30, FALSE) / VLOOKUP("electricity|SO2|Asthma symptoms cough", US_national_yearly!$D:$AM, 10, FALSE), 1)</f>
        <v>2.564137303857687E-3</v>
      </c>
      <c r="W6" s="7">
        <f>$B6 * IFERROR(VLOOKUP("electricity|SO2|Asthma symptoms cough", US_national_yearly!$D:$AM, 31, FALSE) / VLOOKUP("electricity|SO2|Asthma symptoms cough", US_national_yearly!$D:$AM, 10, FALSE), 1)</f>
        <v>2.564137303857687E-3</v>
      </c>
      <c r="X6" s="7">
        <f>$B6 * IFERROR(VLOOKUP("electricity|SO2|Asthma symptoms cough", US_national_yearly!$D:$AM, 32, FALSE) / VLOOKUP("electricity|SO2|Asthma symptoms cough", US_national_yearly!$D:$AM, 10, FALSE), 1)</f>
        <v>2.564137303857687E-3</v>
      </c>
      <c r="Y6" s="7">
        <f>$B6 * IFERROR(VLOOKUP("electricity|SO2|Asthma symptoms cough", US_national_yearly!$D:$AM, 33, FALSE) / VLOOKUP("electricity|SO2|Asthma symptoms cough", US_national_yearly!$D:$AM, 10, FALSE), 1)</f>
        <v>2.564137303857687E-3</v>
      </c>
      <c r="Z6" s="7">
        <f>$B6 * IFERROR(VLOOKUP("electricity|SO2|Asthma symptoms cough", US_national_yearly!$D:$AM, 34, FALSE) / VLOOKUP("electricity|SO2|Asthma symptoms cough", US_national_yearly!$D:$AM, 10, FALSE), 1)</f>
        <v>2.564137303857687E-3</v>
      </c>
      <c r="AA6" s="7">
        <f>$B6 * IFERROR(VLOOKUP("electricity|SO2|Asthma symptoms cough", US_national_yearly!$D:$AM, 35, FALSE) / VLOOKUP("electricity|SO2|Asthma symptoms cough", US_national_yearly!$D:$AM, 10, FALSE), 1)</f>
        <v>2.564137303857687E-3</v>
      </c>
      <c r="AB6" s="7">
        <f>$B6 * IFERROR(VLOOKUP("electricity|SO2|Asthma symptoms cough", US_national_yearly!$D:$AM, 36, FALSE) / VLOOKUP("electricity|SO2|Asthma symptoms cough", US_national_yearly!$D:$AM, 10, FALSE), 1)</f>
        <v>2.564137303857687E-3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3.452928121384534E-3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3.452928121384534E-3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3.452928121384534E-3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3.452928121384534E-3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3.452928121384534E-3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3.452928121384534E-3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3.452928121384534E-3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3.452928121384534E-3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3.452928121384534E-3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3.452928121384534E-3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3.452928121384534E-3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3.452928121384534E-3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3.452928121384534E-3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3.452928121384534E-3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3.452928121384534E-3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3.452928121384534E-3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3.452928121384534E-3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3.452928121384534E-3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3.452928121384534E-3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3.452928121384534E-3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3.452928121384534E-3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3.452928121384534E-3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3.452928121384534E-3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3.452928121384534E-3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3.452928121384534E-3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3.452928121384534E-3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3.452928121384534E-3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5.275684481520021E-3</v>
      </c>
      <c r="C8" s="7">
        <f>$B8 * IFERROR(VLOOKUP("electricity|SO2|Asthma symptoms wheeze", US_national_yearly!$D:$AM, 11, FALSE) / VLOOKUP("electricity|SO2|Asthma symptoms wheeze", US_national_yearly!$D:$AM, 10, FALSE), 1)</f>
        <v>5.275684481520021E-3</v>
      </c>
      <c r="D8" s="7">
        <f>$B8 * IFERROR(VLOOKUP("electricity|SO2|Asthma symptoms wheeze", US_national_yearly!$D:$AM, 12, FALSE) / VLOOKUP("electricity|SO2|Asthma symptoms wheeze", US_national_yearly!$D:$AM, 10, FALSE), 1)</f>
        <v>5.275684481520021E-3</v>
      </c>
      <c r="E8" s="7">
        <f>$B8 * IFERROR(VLOOKUP("electricity|SO2|Asthma symptoms wheeze", US_national_yearly!$D:$AM, 13, FALSE) / VLOOKUP("electricity|SO2|Asthma symptoms wheeze", US_national_yearly!$D:$AM, 10, FALSE), 1)</f>
        <v>5.275684481520021E-3</v>
      </c>
      <c r="F8" s="7">
        <f>$B8 * IFERROR(VLOOKUP("electricity|SO2|Asthma symptoms wheeze", US_national_yearly!$D:$AM, 14, FALSE) / VLOOKUP("electricity|SO2|Asthma symptoms wheeze", US_national_yearly!$D:$AM, 10, FALSE), 1)</f>
        <v>5.275684481520021E-3</v>
      </c>
      <c r="G8" s="7">
        <f>$B8 * IFERROR(VLOOKUP("electricity|SO2|Asthma symptoms wheeze", US_national_yearly!$D:$AM, 15, FALSE) / VLOOKUP("electricity|SO2|Asthma symptoms wheeze", US_national_yearly!$D:$AM, 10, FALSE), 1)</f>
        <v>5.275684481520021E-3</v>
      </c>
      <c r="H8" s="7">
        <f>$B8 * IFERROR(VLOOKUP("electricity|SO2|Asthma symptoms wheeze", US_national_yearly!$D:$AM, 16, FALSE) / VLOOKUP("electricity|SO2|Asthma symptoms wheeze", US_national_yearly!$D:$AM, 10, FALSE), 1)</f>
        <v>5.275684481520021E-3</v>
      </c>
      <c r="I8" s="7">
        <f>$B8 * IFERROR(VLOOKUP("electricity|SO2|Asthma symptoms wheeze", US_national_yearly!$D:$AM, 17, FALSE) / VLOOKUP("electricity|SO2|Asthma symptoms wheeze", US_national_yearly!$D:$AM, 10, FALSE), 1)</f>
        <v>5.275684481520021E-3</v>
      </c>
      <c r="J8" s="7">
        <f>$B8 * IFERROR(VLOOKUP("electricity|SO2|Asthma symptoms wheeze", US_national_yearly!$D:$AM, 18, FALSE) / VLOOKUP("electricity|SO2|Asthma symptoms wheeze", US_national_yearly!$D:$AM, 10, FALSE), 1)</f>
        <v>5.275684481520021E-3</v>
      </c>
      <c r="K8" s="7">
        <f>$B8 * IFERROR(VLOOKUP("electricity|SO2|Asthma symptoms wheeze", US_national_yearly!$D:$AM, 19, FALSE) / VLOOKUP("electricity|SO2|Asthma symptoms wheeze", US_national_yearly!$D:$AM, 10, FALSE), 1)</f>
        <v>5.275684481520021E-3</v>
      </c>
      <c r="L8" s="7">
        <f>$B8 * IFERROR(VLOOKUP("electricity|SO2|Asthma symptoms wheeze", US_national_yearly!$D:$AM, 20, FALSE) / VLOOKUP("electricity|SO2|Asthma symptoms wheeze", US_national_yearly!$D:$AM, 10, FALSE), 1)</f>
        <v>5.275684481520021E-3</v>
      </c>
      <c r="M8" s="7">
        <f>$B8 * IFERROR(VLOOKUP("electricity|SO2|Asthma symptoms wheeze", US_national_yearly!$D:$AM, 21, FALSE) / VLOOKUP("electricity|SO2|Asthma symptoms wheeze", US_national_yearly!$D:$AM, 10, FALSE), 1)</f>
        <v>5.275684481520021E-3</v>
      </c>
      <c r="N8" s="7">
        <f>$B8 * IFERROR(VLOOKUP("electricity|SO2|Asthma symptoms wheeze", US_national_yearly!$D:$AM, 22, FALSE) / VLOOKUP("electricity|SO2|Asthma symptoms wheeze", US_national_yearly!$D:$AM, 10, FALSE), 1)</f>
        <v>5.275684481520021E-3</v>
      </c>
      <c r="O8" s="7">
        <f>$B8 * IFERROR(VLOOKUP("electricity|SO2|Asthma symptoms wheeze", US_national_yearly!$D:$AM, 23, FALSE) / VLOOKUP("electricity|SO2|Asthma symptoms wheeze", US_national_yearly!$D:$AM, 10, FALSE), 1)</f>
        <v>5.275684481520021E-3</v>
      </c>
      <c r="P8" s="7">
        <f>$B8 * IFERROR(VLOOKUP("electricity|SO2|Asthma symptoms wheeze", US_national_yearly!$D:$AM, 24, FALSE) / VLOOKUP("electricity|SO2|Asthma symptoms wheeze", US_national_yearly!$D:$AM, 10, FALSE), 1)</f>
        <v>5.275684481520021E-3</v>
      </c>
      <c r="Q8" s="7">
        <f>$B8 * IFERROR(VLOOKUP("electricity|SO2|Asthma symptoms wheeze", US_national_yearly!$D:$AM, 25, FALSE) / VLOOKUP("electricity|SO2|Asthma symptoms wheeze", US_national_yearly!$D:$AM, 10, FALSE), 1)</f>
        <v>5.275684481520021E-3</v>
      </c>
      <c r="R8" s="7">
        <f>$B8 * IFERROR(VLOOKUP("electricity|SO2|Asthma symptoms wheeze", US_national_yearly!$D:$AM, 26, FALSE) / VLOOKUP("electricity|SO2|Asthma symptoms wheeze", US_national_yearly!$D:$AM, 10, FALSE), 1)</f>
        <v>5.275684481520021E-3</v>
      </c>
      <c r="S8" s="7">
        <f>$B8 * IFERROR(VLOOKUP("electricity|SO2|Asthma symptoms wheeze", US_national_yearly!$D:$AM, 27, FALSE) / VLOOKUP("electricity|SO2|Asthma symptoms wheeze", US_national_yearly!$D:$AM, 10, FALSE), 1)</f>
        <v>5.275684481520021E-3</v>
      </c>
      <c r="T8" s="7">
        <f>$B8 * IFERROR(VLOOKUP("electricity|SO2|Asthma symptoms wheeze", US_national_yearly!$D:$AM, 28, FALSE) / VLOOKUP("electricity|SO2|Asthma symptoms wheeze", US_national_yearly!$D:$AM, 10, FALSE), 1)</f>
        <v>5.275684481520021E-3</v>
      </c>
      <c r="U8" s="7">
        <f>$B8 * IFERROR(VLOOKUP("electricity|SO2|Asthma symptoms wheeze", US_national_yearly!$D:$AM, 29, FALSE) / VLOOKUP("electricity|SO2|Asthma symptoms wheeze", US_national_yearly!$D:$AM, 10, FALSE), 1)</f>
        <v>5.275684481520021E-3</v>
      </c>
      <c r="V8" s="7">
        <f>$B8 * IFERROR(VLOOKUP("electricity|SO2|Asthma symptoms wheeze", US_national_yearly!$D:$AM, 30, FALSE) / VLOOKUP("electricity|SO2|Asthma symptoms wheeze", US_national_yearly!$D:$AM, 10, FALSE), 1)</f>
        <v>5.275684481520021E-3</v>
      </c>
      <c r="W8" s="7">
        <f>$B8 * IFERROR(VLOOKUP("electricity|SO2|Asthma symptoms wheeze", US_national_yearly!$D:$AM, 31, FALSE) / VLOOKUP("electricity|SO2|Asthma symptoms wheeze", US_national_yearly!$D:$AM, 10, FALSE), 1)</f>
        <v>5.275684481520021E-3</v>
      </c>
      <c r="X8" s="7">
        <f>$B8 * IFERROR(VLOOKUP("electricity|SO2|Asthma symptoms wheeze", US_national_yearly!$D:$AM, 32, FALSE) / VLOOKUP("electricity|SO2|Asthma symptoms wheeze", US_national_yearly!$D:$AM, 10, FALSE), 1)</f>
        <v>5.275684481520021E-3</v>
      </c>
      <c r="Y8" s="7">
        <f>$B8 * IFERROR(VLOOKUP("electricity|SO2|Asthma symptoms wheeze", US_national_yearly!$D:$AM, 33, FALSE) / VLOOKUP("electricity|SO2|Asthma symptoms wheeze", US_national_yearly!$D:$AM, 10, FALSE), 1)</f>
        <v>5.275684481520021E-3</v>
      </c>
      <c r="Z8" s="7">
        <f>$B8 * IFERROR(VLOOKUP("electricity|SO2|Asthma symptoms wheeze", US_national_yearly!$D:$AM, 34, FALSE) / VLOOKUP("electricity|SO2|Asthma symptoms wheeze", US_national_yearly!$D:$AM, 10, FALSE), 1)</f>
        <v>5.275684481520021E-3</v>
      </c>
      <c r="AA8" s="7">
        <f>$B8 * IFERROR(VLOOKUP("electricity|SO2|Asthma symptoms wheeze", US_national_yearly!$D:$AM, 35, FALSE) / VLOOKUP("electricity|SO2|Asthma symptoms wheeze", US_national_yearly!$D:$AM, 10, FALSE), 1)</f>
        <v>5.275684481520021E-3</v>
      </c>
      <c r="AB8" s="7">
        <f>$B8 * IFERROR(VLOOKUP("electricity|SO2|Asthma symptoms wheeze", US_national_yearly!$D:$AM, 36, FALSE) / VLOOKUP("electricity|SO2|Asthma symptoms wheeze", US_national_yearly!$D:$AM, 10, FALSE), 1)</f>
        <v>5.275684481520021E-3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8.0500864324113127E-5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8.0974984703506168E-5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8.1449105082899236E-5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8.1923225462292277E-5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8.2397345841685345E-5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8.29139927156016E-5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8.3430639589517869E-5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8.392766143261358E-5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8.4424683275709318E-5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8.4921705118805055E-5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8.541872696190078E-5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8.5915748804996517E-5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8.6272242892038896E-5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8.6628736979081289E-5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8.6985231066123681E-5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8.734172515316606E-5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8.7698219240208453E-5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8.8034697182743805E-5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8.8371175125279185E-5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8.8707653067814538E-5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8.9044131010349918E-5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8.9380608952885284E-5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8.9703401308166431E-5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9.0026193663447605E-5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9.034898601872878E-5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9.0671778374009913E-5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9.0994570729291087E-5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4.7493626026383535E-4</v>
      </c>
      <c r="C13" s="7">
        <f>$B13 * IFERROR(VLOOKUP("electricity|SO2|Non-fatal heart attacks", US_national_yearly!$D:$AM, 11, FALSE) / VLOOKUP("electricity|SO2|Non-fatal heart attacks", US_national_yearly!$D:$AM, 10, FALSE), 1)</f>
        <v>4.8892577829433596E-4</v>
      </c>
      <c r="D13" s="7">
        <f>$B13 * IFERROR(VLOOKUP("electricity|SO2|Non-fatal heart attacks", US_national_yearly!$D:$AM, 12, FALSE) / VLOOKUP("electricity|SO2|Non-fatal heart attacks", US_national_yearly!$D:$AM, 10, FALSE), 1)</f>
        <v>5.0291529632483646E-4</v>
      </c>
      <c r="E13" s="7">
        <f>$B13 * IFERROR(VLOOKUP("electricity|SO2|Non-fatal heart attacks", US_national_yearly!$D:$AM, 13, FALSE) / VLOOKUP("electricity|SO2|Non-fatal heart attacks", US_national_yearly!$D:$AM, 10, FALSE), 1)</f>
        <v>5.1690481435533707E-4</v>
      </c>
      <c r="F13" s="7">
        <f>$B13 * IFERROR(VLOOKUP("electricity|SO2|Non-fatal heart attacks", US_national_yearly!$D:$AM, 14, FALSE) / VLOOKUP("electricity|SO2|Non-fatal heart attacks", US_national_yearly!$D:$AM, 10, FALSE), 1)</f>
        <v>5.3089433238583767E-4</v>
      </c>
      <c r="G13" s="7">
        <f>$B13 * IFERROR(VLOOKUP("electricity|SO2|Non-fatal heart attacks", US_national_yearly!$D:$AM, 15, FALSE) / VLOOKUP("electricity|SO2|Non-fatal heart attacks", US_national_yearly!$D:$AM, 10, FALSE), 1)</f>
        <v>5.4417080472518294E-4</v>
      </c>
      <c r="H13" s="7">
        <f>$B13 * IFERROR(VLOOKUP("electricity|SO2|Non-fatal heart attacks", US_national_yearly!$D:$AM, 16, FALSE) / VLOOKUP("electricity|SO2|Non-fatal heart attacks", US_national_yearly!$D:$AM, 10, FALSE), 1)</f>
        <v>5.5744727706452842E-4</v>
      </c>
      <c r="I13" s="7">
        <f>$B13 * IFERROR(VLOOKUP("electricity|SO2|Non-fatal heart attacks", US_national_yearly!$D:$AM, 17, FALSE) / VLOOKUP("electricity|SO2|Non-fatal heart attacks", US_national_yearly!$D:$AM, 10, FALSE), 1)</f>
        <v>5.6825944413637188E-4</v>
      </c>
      <c r="J13" s="7">
        <f>$B13 * IFERROR(VLOOKUP("electricity|SO2|Non-fatal heart attacks", US_national_yearly!$D:$AM, 18, FALSE) / VLOOKUP("electricity|SO2|Non-fatal heart attacks", US_national_yearly!$D:$AM, 10, FALSE), 1)</f>
        <v>5.7907161120821524E-4</v>
      </c>
      <c r="K13" s="7">
        <f>$B13 * IFERROR(VLOOKUP("electricity|SO2|Non-fatal heart attacks", US_national_yearly!$D:$AM, 19, FALSE) / VLOOKUP("electricity|SO2|Non-fatal heart attacks", US_national_yearly!$D:$AM, 10, FALSE), 1)</f>
        <v>5.8988377828005881E-4</v>
      </c>
      <c r="L13" s="7">
        <f>$B13 * IFERROR(VLOOKUP("electricity|SO2|Non-fatal heart attacks", US_national_yearly!$D:$AM, 20, FALSE) / VLOOKUP("electricity|SO2|Non-fatal heart attacks", US_national_yearly!$D:$AM, 10, FALSE), 1)</f>
        <v>6.0069594535190217E-4</v>
      </c>
      <c r="M13" s="7">
        <f>$B13 * IFERROR(VLOOKUP("electricity|SO2|Non-fatal heart attacks", US_national_yearly!$D:$AM, 21, FALSE) / VLOOKUP("electricity|SO2|Non-fatal heart attacks", US_national_yearly!$D:$AM, 10, FALSE), 1)</f>
        <v>6.1150811242374563E-4</v>
      </c>
      <c r="N13" s="7">
        <f>$B13 * IFERROR(VLOOKUP("electricity|SO2|Non-fatal heart attacks", US_national_yearly!$D:$AM, 22, FALSE) / VLOOKUP("electricity|SO2|Non-fatal heart attacks", US_national_yearly!$D:$AM, 10, FALSE), 1)</f>
        <v>6.1863822758759734E-4</v>
      </c>
      <c r="O13" s="7">
        <f>$B13 * IFERROR(VLOOKUP("electricity|SO2|Non-fatal heart attacks", US_national_yearly!$D:$AM, 23, FALSE) / VLOOKUP("electricity|SO2|Non-fatal heart attacks", US_national_yearly!$D:$AM, 10, FALSE), 1)</f>
        <v>6.2576834275144904E-4</v>
      </c>
      <c r="P13" s="7">
        <f>$B13 * IFERROR(VLOOKUP("electricity|SO2|Non-fatal heart attacks", US_national_yearly!$D:$AM, 24, FALSE) / VLOOKUP("electricity|SO2|Non-fatal heart attacks", US_national_yearly!$D:$AM, 10, FALSE), 1)</f>
        <v>6.3289845791530074E-4</v>
      </c>
      <c r="Q13" s="7">
        <f>$B13 * IFERROR(VLOOKUP("electricity|SO2|Non-fatal heart attacks", US_national_yearly!$D:$AM, 25, FALSE) / VLOOKUP("electricity|SO2|Non-fatal heart attacks", US_national_yearly!$D:$AM, 10, FALSE), 1)</f>
        <v>6.4002857307915255E-4</v>
      </c>
      <c r="R13" s="7">
        <f>$B13 * IFERROR(VLOOKUP("electricity|SO2|Non-fatal heart attacks", US_national_yearly!$D:$AM, 26, FALSE) / VLOOKUP("electricity|SO2|Non-fatal heart attacks", US_national_yearly!$D:$AM, 10, FALSE), 1)</f>
        <v>6.4715868824300425E-4</v>
      </c>
      <c r="S13" s="7">
        <f>$B13 * IFERROR(VLOOKUP("electricity|SO2|Non-fatal heart attacks", US_national_yearly!$D:$AM, 27, FALSE) / VLOOKUP("electricity|SO2|Non-fatal heart attacks", US_national_yearly!$D:$AM, 10, FALSE), 1)</f>
        <v>6.5103872723964301E-4</v>
      </c>
      <c r="T13" s="7">
        <f>$B13 * IFERROR(VLOOKUP("electricity|SO2|Non-fatal heart attacks", US_national_yearly!$D:$AM, 28, FALSE) / VLOOKUP("electricity|SO2|Non-fatal heart attacks", US_national_yearly!$D:$AM, 10, FALSE), 1)</f>
        <v>6.5491876623628177E-4</v>
      </c>
      <c r="U13" s="7">
        <f>$B13 * IFERROR(VLOOKUP("electricity|SO2|Non-fatal heart attacks", US_national_yearly!$D:$AM, 29, FALSE) / VLOOKUP("electricity|SO2|Non-fatal heart attacks", US_national_yearly!$D:$AM, 10, FALSE), 1)</f>
        <v>6.5879880523292064E-4</v>
      </c>
      <c r="V13" s="7">
        <f>$B13 * IFERROR(VLOOKUP("electricity|SO2|Non-fatal heart attacks", US_national_yearly!$D:$AM, 30, FALSE) / VLOOKUP("electricity|SO2|Non-fatal heart attacks", US_national_yearly!$D:$AM, 10, FALSE), 1)</f>
        <v>6.6267884422955929E-4</v>
      </c>
      <c r="W13" s="7">
        <f>$B13 * IFERROR(VLOOKUP("electricity|SO2|Non-fatal heart attacks", US_national_yearly!$D:$AM, 31, FALSE) / VLOOKUP("electricity|SO2|Non-fatal heart attacks", US_national_yearly!$D:$AM, 10, FALSE), 1)</f>
        <v>6.6655888322619816E-4</v>
      </c>
      <c r="X13" s="7">
        <f>$B13 * IFERROR(VLOOKUP("electricity|SO2|Non-fatal heart attacks", US_national_yearly!$D:$AM, 32, FALSE) / VLOOKUP("electricity|SO2|Non-fatal heart attacks", US_national_yearly!$D:$AM, 10, FALSE), 1)</f>
        <v>6.6953940093229336E-4</v>
      </c>
      <c r="Y13" s="7">
        <f>$B13 * IFERROR(VLOOKUP("electricity|SO2|Non-fatal heart attacks", US_national_yearly!$D:$AM, 33, FALSE) / VLOOKUP("electricity|SO2|Non-fatal heart attacks", US_national_yearly!$D:$AM, 10, FALSE), 1)</f>
        <v>6.7251991863838878E-4</v>
      </c>
      <c r="Z13" s="7">
        <f>$B13 * IFERROR(VLOOKUP("electricity|SO2|Non-fatal heart attacks", US_national_yearly!$D:$AM, 34, FALSE) / VLOOKUP("electricity|SO2|Non-fatal heart attacks", US_national_yearly!$D:$AM, 10, FALSE), 1)</f>
        <v>6.7550043634448398E-4</v>
      </c>
      <c r="AA13" s="7">
        <f>$B13 * IFERROR(VLOOKUP("electricity|SO2|Non-fatal heart attacks", US_national_yearly!$D:$AM, 35, FALSE) / VLOOKUP("electricity|SO2|Non-fatal heart attacks", US_national_yearly!$D:$AM, 10, FALSE), 1)</f>
        <v>6.7848095405057928E-4</v>
      </c>
      <c r="AB13" s="7">
        <f>$B13 * IFERROR(VLOOKUP("electricity|SO2|Non-fatal heart attacks", US_national_yearly!$D:$AM, 36, FALSE) / VLOOKUP("electricity|SO2|Non-fatal heart attacks", US_national_yearly!$D:$AM, 10, FALSE), 1)</f>
        <v>6.8146147175667459E-4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0.30789982513613728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0.30867356266755808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0.30944730019897887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0.31022103773039972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0.31099477526182046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0.31211265871772453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0.31323054217362861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0.31514779836767687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0.31706505456172518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0.31898231075577343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0.32089956694982186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0.32281682314387011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0.32545716186583085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0.32809750058779158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0.33073783930975226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0.33337817803171305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0.33601851675367378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0.33872528021579557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0.34143204367791735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0.34413880714003908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0.34684557060216087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0.34955233406428265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0.35193398925660146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0.35431564444892016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0.35669729964123892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0.35907895483355767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0.36146061002587643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5.1961056211258273E-2</v>
      </c>
      <c r="C15" s="7">
        <f>$B15 * IFERROR(VLOOKUP("electricity|SO2|Work loss days", US_national_yearly!$D:$AM, 11, FALSE) / VLOOKUP("electricity|SO2|Work loss days", US_national_yearly!$D:$AM, 10, FALSE), 1)</f>
        <v>5.2129307682737491E-2</v>
      </c>
      <c r="D15" s="7">
        <f>$B15 * IFERROR(VLOOKUP("electricity|SO2|Work loss days", US_national_yearly!$D:$AM, 12, FALSE) / VLOOKUP("electricity|SO2|Work loss days", US_national_yearly!$D:$AM, 10, FALSE), 1)</f>
        <v>5.2297559154216709E-2</v>
      </c>
      <c r="E15" s="7">
        <f>$B15 * IFERROR(VLOOKUP("electricity|SO2|Work loss days", US_national_yearly!$D:$AM, 13, FALSE) / VLOOKUP("electricity|SO2|Work loss days", US_national_yearly!$D:$AM, 10, FALSE), 1)</f>
        <v>5.2465810625695934E-2</v>
      </c>
      <c r="F15" s="7">
        <f>$B15 * IFERROR(VLOOKUP("electricity|SO2|Work loss days", US_national_yearly!$D:$AM, 14, FALSE) / VLOOKUP("electricity|SO2|Work loss days", US_national_yearly!$D:$AM, 10, FALSE), 1)</f>
        <v>5.2634062097175152E-2</v>
      </c>
      <c r="G15" s="7">
        <f>$B15 * IFERROR(VLOOKUP("electricity|SO2|Work loss days", US_national_yearly!$D:$AM, 15, FALSE) / VLOOKUP("electricity|SO2|Work loss days", US_national_yearly!$D:$AM, 10, FALSE), 1)</f>
        <v>5.2849602657665536E-2</v>
      </c>
      <c r="H15" s="7">
        <f>$B15 * IFERROR(VLOOKUP("electricity|SO2|Work loss days", US_national_yearly!$D:$AM, 16, FALSE) / VLOOKUP("electricity|SO2|Work loss days", US_national_yearly!$D:$AM, 10, FALSE), 1)</f>
        <v>5.3065143218155926E-2</v>
      </c>
      <c r="I15" s="7">
        <f>$B15 * IFERROR(VLOOKUP("electricity|SO2|Work loss days", US_national_yearly!$D:$AM, 17, FALSE) / VLOOKUP("electricity|SO2|Work loss days", US_national_yearly!$D:$AM, 10, FALSE), 1)</f>
        <v>5.3380504411986635E-2</v>
      </c>
      <c r="J15" s="7">
        <f>$B15 * IFERROR(VLOOKUP("electricity|SO2|Work loss days", US_national_yearly!$D:$AM, 18, FALSE) / VLOOKUP("electricity|SO2|Work loss days", US_national_yearly!$D:$AM, 10, FALSE), 1)</f>
        <v>5.3695865605817336E-2</v>
      </c>
      <c r="K15" s="7">
        <f>$B15 * IFERROR(VLOOKUP("electricity|SO2|Work loss days", US_national_yearly!$D:$AM, 19, FALSE) / VLOOKUP("electricity|SO2|Work loss days", US_national_yearly!$D:$AM, 10, FALSE), 1)</f>
        <v>5.4011226799648059E-2</v>
      </c>
      <c r="L15" s="7">
        <f>$B15 * IFERROR(VLOOKUP("electricity|SO2|Work loss days", US_national_yearly!$D:$AM, 20, FALSE) / VLOOKUP("electricity|SO2|Work loss days", US_national_yearly!$D:$AM, 10, FALSE), 1)</f>
        <v>5.432658799347876E-2</v>
      </c>
      <c r="M15" s="7">
        <f>$B15 * IFERROR(VLOOKUP("electricity|SO2|Work loss days", US_national_yearly!$D:$AM, 21, FALSE) / VLOOKUP("electricity|SO2|Work loss days", US_national_yearly!$D:$AM, 10, FALSE), 1)</f>
        <v>5.4641949187309483E-2</v>
      </c>
      <c r="N15" s="7">
        <f>$B15 * IFERROR(VLOOKUP("electricity|SO2|Work loss days", US_national_yearly!$D:$AM, 22, FALSE) / VLOOKUP("electricity|SO2|Work loss days", US_national_yearly!$D:$AM, 10, FALSE), 1)</f>
        <v>5.5040959526018063E-2</v>
      </c>
      <c r="O15" s="7">
        <f>$B15 * IFERROR(VLOOKUP("electricity|SO2|Work loss days", US_national_yearly!$D:$AM, 23, FALSE) / VLOOKUP("electricity|SO2|Work loss days", US_national_yearly!$D:$AM, 10, FALSE), 1)</f>
        <v>5.543996986472665E-2</v>
      </c>
      <c r="P15" s="7">
        <f>$B15 * IFERROR(VLOOKUP("electricity|SO2|Work loss days", US_national_yearly!$D:$AM, 24, FALSE) / VLOOKUP("electricity|SO2|Work loss days", US_national_yearly!$D:$AM, 10, FALSE), 1)</f>
        <v>5.5838980203435237E-2</v>
      </c>
      <c r="Q15" s="7">
        <f>$B15 * IFERROR(VLOOKUP("electricity|SO2|Work loss days", US_national_yearly!$D:$AM, 25, FALSE) / VLOOKUP("electricity|SO2|Work loss days", US_national_yearly!$D:$AM, 10, FALSE), 1)</f>
        <v>5.6237990542143818E-2</v>
      </c>
      <c r="R15" s="7">
        <f>$B15 * IFERROR(VLOOKUP("electricity|SO2|Work loss days", US_national_yearly!$D:$AM, 26, FALSE) / VLOOKUP("electricity|SO2|Work loss days", US_national_yearly!$D:$AM, 10, FALSE), 1)</f>
        <v>5.6637000880852405E-2</v>
      </c>
      <c r="S15" s="7">
        <f>$B15 * IFERROR(VLOOKUP("electricity|SO2|Work loss days", US_national_yearly!$D:$AM, 27, FALSE) / VLOOKUP("electricity|SO2|Work loss days", US_national_yearly!$D:$AM, 10, FALSE), 1)</f>
        <v>5.7084328705017763E-2</v>
      </c>
      <c r="T15" s="7">
        <f>$B15 * IFERROR(VLOOKUP("electricity|SO2|Work loss days", US_national_yearly!$D:$AM, 28, FALSE) / VLOOKUP("electricity|SO2|Work loss days", US_national_yearly!$D:$AM, 10, FALSE), 1)</f>
        <v>5.7531656529183128E-2</v>
      </c>
      <c r="U15" s="7">
        <f>$B15 * IFERROR(VLOOKUP("electricity|SO2|Work loss days", US_national_yearly!$D:$AM, 29, FALSE) / VLOOKUP("electricity|SO2|Work loss days", US_national_yearly!$D:$AM, 10, FALSE), 1)</f>
        <v>5.7978984353348494E-2</v>
      </c>
      <c r="V15" s="7">
        <f>$B15 * IFERROR(VLOOKUP("electricity|SO2|Work loss days", US_national_yearly!$D:$AM, 30, FALSE) / VLOOKUP("electricity|SO2|Work loss days", US_national_yearly!$D:$AM, 10, FALSE), 1)</f>
        <v>5.8426312177513866E-2</v>
      </c>
      <c r="W15" s="7">
        <f>$B15 * IFERROR(VLOOKUP("electricity|SO2|Work loss days", US_national_yearly!$D:$AM, 31, FALSE) / VLOOKUP("electricity|SO2|Work loss days", US_national_yearly!$D:$AM, 10, FALSE), 1)</f>
        <v>5.8873640001679231E-2</v>
      </c>
      <c r="X15" s="7">
        <f>$B15 * IFERROR(VLOOKUP("electricity|SO2|Work loss days", US_national_yearly!$D:$AM, 32, FALSE) / VLOOKUP("electricity|SO2|Work loss days", US_national_yearly!$D:$AM, 10, FALSE), 1)</f>
        <v>5.9276638127902959E-2</v>
      </c>
      <c r="Y15" s="7">
        <f>$B15 * IFERROR(VLOOKUP("electricity|SO2|Work loss days", US_national_yearly!$D:$AM, 33, FALSE) / VLOOKUP("electricity|SO2|Work loss days", US_national_yearly!$D:$AM, 10, FALSE), 1)</f>
        <v>5.9679636254126686E-2</v>
      </c>
      <c r="Z15" s="7">
        <f>$B15 * IFERROR(VLOOKUP("electricity|SO2|Work loss days", US_national_yearly!$D:$AM, 34, FALSE) / VLOOKUP("electricity|SO2|Work loss days", US_national_yearly!$D:$AM, 10, FALSE), 1)</f>
        <v>6.00826343803504E-2</v>
      </c>
      <c r="AA15" s="7">
        <f>$B15 * IFERROR(VLOOKUP("electricity|SO2|Work loss days", US_national_yearly!$D:$AM, 35, FALSE) / VLOOKUP("electricity|SO2|Work loss days", US_national_yearly!$D:$AM, 10, FALSE), 1)</f>
        <v>6.0485632506574127E-2</v>
      </c>
      <c r="AB15" s="7">
        <f>$B15 * IFERROR(VLOOKUP("electricity|SO2|Work loss days", US_national_yearly!$D:$AM, 36, FALSE) / VLOOKUP("electricity|SO2|Work loss days", US_national_yearly!$D:$AM, 10, FALSE), 1)</f>
        <v>6.0888630632797855E-2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1.1910571190825401E-4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1.2271494607175295E-4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1.2632418023525191E-4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1.299334143987509E-4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1.3354264856224986E-4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1.3702172030986877E-4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1.4050079205748771E-4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1.4351276551094816E-4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1.4652473896440858E-4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1.49536712417869E-4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1.5254868587132942E-4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1.5556065932478984E-4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1.5761632317650483E-4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1.596719870282198E-4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1.6172765087993487E-4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1.6378331473164984E-4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1.6583897858336483E-4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1.6696593116533704E-4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1.680928837473092E-4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1.692198363292814E-4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1.7034678891125356E-4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1.7147374149322574E-4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1.7225166313541678E-4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1.7302958477760779E-4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1.7380750641979881E-4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1.7458542806198985E-4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1.7536334970418086E-4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3.8959268265011129E-2</v>
      </c>
      <c r="C2" s="7">
        <f>$B2 * IFERROR(VLOOKUP("buildings|PM25|Premature mortality", US_national_yearly!$D:$AM, 11, FALSE) / VLOOKUP("buildings|PM25|Premature mortality", US_national_yearly!$D:$AM, 10, FALSE), 1)</f>
        <v>3.9442627663198178E-2</v>
      </c>
      <c r="D2" s="7">
        <f>$B2 * IFERROR(VLOOKUP("buildings|PM25|Premature mortality", US_national_yearly!$D:$AM, 12, FALSE) / VLOOKUP("buildings|PM25|Premature mortality", US_national_yearly!$D:$AM, 10, FALSE), 1)</f>
        <v>3.9925987061385226E-2</v>
      </c>
      <c r="E2" s="7">
        <f>$B2 * IFERROR(VLOOKUP("buildings|PM25|Premature mortality", US_national_yearly!$D:$AM, 13, FALSE) / VLOOKUP("buildings|PM25|Premature mortality", US_national_yearly!$D:$AM, 10, FALSE), 1)</f>
        <v>4.0409346459572275E-2</v>
      </c>
      <c r="F2" s="7">
        <f>$B2 * IFERROR(VLOOKUP("buildings|PM25|Premature mortality", US_national_yearly!$D:$AM, 14, FALSE) / VLOOKUP("buildings|PM25|Premature mortality", US_national_yearly!$D:$AM, 10, FALSE), 1)</f>
        <v>4.0892705857759323E-2</v>
      </c>
      <c r="G2" s="7">
        <f>$B2 * IFERROR(VLOOKUP("buildings|PM25|Premature mortality", US_national_yearly!$D:$AM, 15, FALSE) / VLOOKUP("buildings|PM25|Premature mortality", US_national_yearly!$D:$AM, 10, FALSE), 1)</f>
        <v>4.1833905729061815E-2</v>
      </c>
      <c r="H2" s="7">
        <f>$B2 * IFERROR(VLOOKUP("buildings|PM25|Premature mortality", US_national_yearly!$D:$AM, 16, FALSE) / VLOOKUP("buildings|PM25|Premature mortality", US_national_yearly!$D:$AM, 10, FALSE), 1)</f>
        <v>4.2775105600364308E-2</v>
      </c>
      <c r="I2" s="7">
        <f>$B2 * IFERROR(VLOOKUP("buildings|PM25|Premature mortality", US_national_yearly!$D:$AM, 17, FALSE) / VLOOKUP("buildings|PM25|Premature mortality", US_national_yearly!$D:$AM, 10, FALSE), 1)</f>
        <v>4.3394116544459932E-2</v>
      </c>
      <c r="J2" s="7">
        <f>$B2 * IFERROR(VLOOKUP("buildings|PM25|Premature mortality", US_national_yearly!$D:$AM, 18, FALSE) / VLOOKUP("buildings|PM25|Premature mortality", US_national_yearly!$D:$AM, 10, FALSE), 1)</f>
        <v>4.4013127488555549E-2</v>
      </c>
      <c r="K2" s="7">
        <f>$B2 * IFERROR(VLOOKUP("buildings|PM25|Premature mortality", US_national_yearly!$D:$AM, 19, FALSE) / VLOOKUP("buildings|PM25|Premature mortality", US_national_yearly!$D:$AM, 10, FALSE), 1)</f>
        <v>4.4632138432651167E-2</v>
      </c>
      <c r="L2" s="7">
        <f>$B2 * IFERROR(VLOOKUP("buildings|PM25|Premature mortality", US_national_yearly!$D:$AM, 20, FALSE) / VLOOKUP("buildings|PM25|Premature mortality", US_national_yearly!$D:$AM, 10, FALSE), 1)</f>
        <v>4.5251149376746784E-2</v>
      </c>
      <c r="M2" s="7">
        <f>$B2 * IFERROR(VLOOKUP("buildings|PM25|Premature mortality", US_national_yearly!$D:$AM, 21, FALSE) / VLOOKUP("buildings|PM25|Premature mortality", US_national_yearly!$D:$AM, 10, FALSE), 1)</f>
        <v>4.5870160320842401E-2</v>
      </c>
      <c r="N2" s="7">
        <f>$B2 * IFERROR(VLOOKUP("buildings|PM25|Premature mortality", US_national_yearly!$D:$AM, 22, FALSE) / VLOOKUP("buildings|PM25|Premature mortality", US_national_yearly!$D:$AM, 10, FALSE), 1)</f>
        <v>4.6351510127874834E-2</v>
      </c>
      <c r="O2" s="7">
        <f>$B2 * IFERROR(VLOOKUP("buildings|PM25|Premature mortality", US_national_yearly!$D:$AM, 23, FALSE) / VLOOKUP("buildings|PM25|Premature mortality", US_national_yearly!$D:$AM, 10, FALSE), 1)</f>
        <v>4.6832859934907274E-2</v>
      </c>
      <c r="P2" s="7">
        <f>$B2 * IFERROR(VLOOKUP("buildings|PM25|Premature mortality", US_national_yearly!$D:$AM, 24, FALSE) / VLOOKUP("buildings|PM25|Premature mortality", US_national_yearly!$D:$AM, 10, FALSE), 1)</f>
        <v>4.73142097419397E-2</v>
      </c>
      <c r="Q2" s="7">
        <f>$B2 * IFERROR(VLOOKUP("buildings|PM25|Premature mortality", US_national_yearly!$D:$AM, 25, FALSE) / VLOOKUP("buildings|PM25|Premature mortality", US_national_yearly!$D:$AM, 10, FALSE), 1)</f>
        <v>4.7795559548972147E-2</v>
      </c>
      <c r="R2" s="7">
        <f>$B2 * IFERROR(VLOOKUP("buildings|PM25|Premature mortality", US_national_yearly!$D:$AM, 26, FALSE) / VLOOKUP("buildings|PM25|Premature mortality", US_national_yearly!$D:$AM, 10, FALSE), 1)</f>
        <v>4.827690935600458E-2</v>
      </c>
      <c r="S2" s="7">
        <f>$B2 * IFERROR(VLOOKUP("buildings|PM25|Premature mortality", US_national_yearly!$D:$AM, 27, FALSE) / VLOOKUP("buildings|PM25|Premature mortality", US_national_yearly!$D:$AM, 10, FALSE), 1)</f>
        <v>4.8532751559631111E-2</v>
      </c>
      <c r="T2" s="7">
        <f>$B2 * IFERROR(VLOOKUP("buildings|PM25|Premature mortality", US_national_yearly!$D:$AM, 28, FALSE) / VLOOKUP("buildings|PM25|Premature mortality", US_national_yearly!$D:$AM, 10, FALSE), 1)</f>
        <v>4.878859376325765E-2</v>
      </c>
      <c r="U2" s="7">
        <f>$B2 * IFERROR(VLOOKUP("buildings|PM25|Premature mortality", US_national_yearly!$D:$AM, 29, FALSE) / VLOOKUP("buildings|PM25|Premature mortality", US_national_yearly!$D:$AM, 10, FALSE), 1)</f>
        <v>4.9044435966884188E-2</v>
      </c>
      <c r="V2" s="7">
        <f>$B2 * IFERROR(VLOOKUP("buildings|PM25|Premature mortality", US_national_yearly!$D:$AM, 30, FALSE) / VLOOKUP("buildings|PM25|Premature mortality", US_national_yearly!$D:$AM, 10, FALSE), 1)</f>
        <v>4.9300278170510727E-2</v>
      </c>
      <c r="W2" s="7">
        <f>$B2 * IFERROR(VLOOKUP("buildings|PM25|Premature mortality", US_national_yearly!$D:$AM, 31, FALSE) / VLOOKUP("buildings|PM25|Premature mortality", US_national_yearly!$D:$AM, 10, FALSE), 1)</f>
        <v>4.9556120374137258E-2</v>
      </c>
      <c r="X2" s="7">
        <f>$B2 * IFERROR(VLOOKUP("buildings|PM25|Premature mortality", US_national_yearly!$D:$AM, 32, FALSE) / VLOOKUP("buildings|PM25|Premature mortality", US_national_yearly!$D:$AM, 10, FALSE), 1)</f>
        <v>4.9602041995744715E-2</v>
      </c>
      <c r="Y2" s="7">
        <f>$B2 * IFERROR(VLOOKUP("buildings|PM25|Premature mortality", US_national_yearly!$D:$AM, 33, FALSE) / VLOOKUP("buildings|PM25|Premature mortality", US_national_yearly!$D:$AM, 10, FALSE), 1)</f>
        <v>4.9647963617352173E-2</v>
      </c>
      <c r="Z2" s="7">
        <f>$B2 * IFERROR(VLOOKUP("buildings|PM25|Premature mortality", US_national_yearly!$D:$AM, 34, FALSE) / VLOOKUP("buildings|PM25|Premature mortality", US_national_yearly!$D:$AM, 10, FALSE), 1)</f>
        <v>4.969388523895963E-2</v>
      </c>
      <c r="AA2" s="7">
        <f>$B2 * IFERROR(VLOOKUP("buildings|PM25|Premature mortality", US_national_yearly!$D:$AM, 35, FALSE) / VLOOKUP("buildings|PM25|Premature mortality", US_national_yearly!$D:$AM, 10, FALSE), 1)</f>
        <v>4.9739806860567094E-2</v>
      </c>
      <c r="AB2" s="7">
        <f>$B2 * IFERROR(VLOOKUP("buildings|PM25|Premature mortality", US_national_yearly!$D:$AM, 36, FALSE) / VLOOKUP("buildings|PM25|Premature mortality", US_national_yearly!$D:$AM, 10, FALSE), 1)</f>
        <v>4.9785728482174545E-2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1.1078591238425512E-4</v>
      </c>
      <c r="C3" s="7">
        <f>$B3 * IFERROR(VLOOKUP("buildings|PM25|Infant mortality", US_national_yearly!$D:$AM, 11, FALSE) / VLOOKUP("buildings|PM25|Infant mortality", US_national_yearly!$D:$AM, 10, FALSE), 1)</f>
        <v>1.0982632716997995E-4</v>
      </c>
      <c r="D3" s="7">
        <f>$B3 * IFERROR(VLOOKUP("buildings|PM25|Infant mortality", US_national_yearly!$D:$AM, 12, FALSE) / VLOOKUP("buildings|PM25|Infant mortality", US_national_yearly!$D:$AM, 10, FALSE), 1)</f>
        <v>1.0886674195570479E-4</v>
      </c>
      <c r="E3" s="7">
        <f>$B3 * IFERROR(VLOOKUP("buildings|PM25|Infant mortality", US_national_yearly!$D:$AM, 13, FALSE) / VLOOKUP("buildings|PM25|Infant mortality", US_national_yearly!$D:$AM, 10, FALSE), 1)</f>
        <v>1.0790715674142962E-4</v>
      </c>
      <c r="F3" s="7">
        <f>$B3 * IFERROR(VLOOKUP("buildings|PM25|Infant mortality", US_national_yearly!$D:$AM, 14, FALSE) / VLOOKUP("buildings|PM25|Infant mortality", US_national_yearly!$D:$AM, 10, FALSE), 1)</f>
        <v>1.0694757152715448E-4</v>
      </c>
      <c r="G3" s="7">
        <f>$B3 * IFERROR(VLOOKUP("buildings|PM25|Infant mortality", US_national_yearly!$D:$AM, 15, FALSE) / VLOOKUP("buildings|PM25|Infant mortality", US_national_yearly!$D:$AM, 10, FALSE), 1)</f>
        <v>7.1116255095870712E-5</v>
      </c>
      <c r="H3" s="7">
        <f>$B3 * IFERROR(VLOOKUP("buildings|PM25|Infant mortality", US_national_yearly!$D:$AM, 16, FALSE) / VLOOKUP("buildings|PM25|Infant mortality", US_national_yearly!$D:$AM, 10, FALSE), 1)</f>
        <v>3.5284938664586952E-5</v>
      </c>
      <c r="I3" s="7">
        <f>$B3 * IFERROR(VLOOKUP("buildings|PM25|Infant mortality", US_national_yearly!$D:$AM, 17, FALSE) / VLOOKUP("buildings|PM25|Infant mortality", US_national_yearly!$D:$AM, 10, FALSE), 1)</f>
        <v>3.5055007691589318E-5</v>
      </c>
      <c r="J3" s="7">
        <f>$B3 * IFERROR(VLOOKUP("buildings|PM25|Infant mortality", US_national_yearly!$D:$AM, 18, FALSE) / VLOOKUP("buildings|PM25|Infant mortality", US_national_yearly!$D:$AM, 10, FALSE), 1)</f>
        <v>3.4825076718591691E-5</v>
      </c>
      <c r="K3" s="7">
        <f>$B3 * IFERROR(VLOOKUP("buildings|PM25|Infant mortality", US_national_yearly!$D:$AM, 19, FALSE) / VLOOKUP("buildings|PM25|Infant mortality", US_national_yearly!$D:$AM, 10, FALSE), 1)</f>
        <v>3.4595145745594057E-5</v>
      </c>
      <c r="L3" s="7">
        <f>$B3 * IFERROR(VLOOKUP("buildings|PM25|Infant mortality", US_national_yearly!$D:$AM, 20, FALSE) / VLOOKUP("buildings|PM25|Infant mortality", US_national_yearly!$D:$AM, 10, FALSE), 1)</f>
        <v>3.436521477259643E-5</v>
      </c>
      <c r="M3" s="7">
        <f>$B3 * IFERROR(VLOOKUP("buildings|PM25|Infant mortality", US_national_yearly!$D:$AM, 21, FALSE) / VLOOKUP("buildings|PM25|Infant mortality", US_national_yearly!$D:$AM, 10, FALSE), 1)</f>
        <v>3.4135283799598796E-5</v>
      </c>
      <c r="N3" s="7">
        <f>$B3 * IFERROR(VLOOKUP("buildings|PM25|Infant mortality", US_national_yearly!$D:$AM, 22, FALSE) / VLOOKUP("buildings|PM25|Infant mortality", US_national_yearly!$D:$AM, 10, FALSE), 1)</f>
        <v>3.3991416976572405E-5</v>
      </c>
      <c r="O3" s="7">
        <f>$B3 * IFERROR(VLOOKUP("buildings|PM25|Infant mortality", US_national_yearly!$D:$AM, 23, FALSE) / VLOOKUP("buildings|PM25|Infant mortality", US_national_yearly!$D:$AM, 10, FALSE), 1)</f>
        <v>3.3847550153546014E-5</v>
      </c>
      <c r="P3" s="7">
        <f>$B3 * IFERROR(VLOOKUP("buildings|PM25|Infant mortality", US_national_yearly!$D:$AM, 24, FALSE) / VLOOKUP("buildings|PM25|Infant mortality", US_national_yearly!$D:$AM, 10, FALSE), 1)</f>
        <v>3.3703683330519623E-5</v>
      </c>
      <c r="Q3" s="7">
        <f>$B3 * IFERROR(VLOOKUP("buildings|PM25|Infant mortality", US_national_yearly!$D:$AM, 25, FALSE) / VLOOKUP("buildings|PM25|Infant mortality", US_national_yearly!$D:$AM, 10, FALSE), 1)</f>
        <v>3.3559816507493231E-5</v>
      </c>
      <c r="R3" s="7">
        <f>$B3 * IFERROR(VLOOKUP("buildings|PM25|Infant mortality", US_national_yearly!$D:$AM, 26, FALSE) / VLOOKUP("buildings|PM25|Infant mortality", US_national_yearly!$D:$AM, 10, FALSE), 1)</f>
        <v>3.341594968446684E-5</v>
      </c>
      <c r="S3" s="7">
        <f>$B3 * IFERROR(VLOOKUP("buildings|PM25|Infant mortality", US_national_yearly!$D:$AM, 27, FALSE) / VLOOKUP("buildings|PM25|Infant mortality", US_national_yearly!$D:$AM, 10, FALSE), 1)</f>
        <v>3.3236322063264199E-5</v>
      </c>
      <c r="T3" s="7">
        <f>$B3 * IFERROR(VLOOKUP("buildings|PM25|Infant mortality", US_national_yearly!$D:$AM, 28, FALSE) / VLOOKUP("buildings|PM25|Infant mortality", US_national_yearly!$D:$AM, 10, FALSE), 1)</f>
        <v>3.3056694442061564E-5</v>
      </c>
      <c r="U3" s="7">
        <f>$B3 * IFERROR(VLOOKUP("buildings|PM25|Infant mortality", US_national_yearly!$D:$AM, 29, FALSE) / VLOOKUP("buildings|PM25|Infant mortality", US_national_yearly!$D:$AM, 10, FALSE), 1)</f>
        <v>3.2877066820858915E-5</v>
      </c>
      <c r="V3" s="7">
        <f>$B3 * IFERROR(VLOOKUP("buildings|PM25|Infant mortality", US_national_yearly!$D:$AM, 30, FALSE) / VLOOKUP("buildings|PM25|Infant mortality", US_national_yearly!$D:$AM, 10, FALSE), 1)</f>
        <v>3.2697439199656274E-5</v>
      </c>
      <c r="W3" s="7">
        <f>$B3 * IFERROR(VLOOKUP("buildings|PM25|Infant mortality", US_national_yearly!$D:$AM, 31, FALSE) / VLOOKUP("buildings|PM25|Infant mortality", US_national_yearly!$D:$AM, 10, FALSE), 1)</f>
        <v>3.2517811578453632E-5</v>
      </c>
      <c r="X3" s="7">
        <f>$B3 * IFERROR(VLOOKUP("buildings|PM25|Infant mortality", US_national_yearly!$D:$AM, 32, FALSE) / VLOOKUP("buildings|PM25|Infant mortality", US_national_yearly!$D:$AM, 10, FALSE), 1)</f>
        <v>3.2324419316484229E-5</v>
      </c>
      <c r="Y3" s="7">
        <f>$B3 * IFERROR(VLOOKUP("buildings|PM25|Infant mortality", US_national_yearly!$D:$AM, 33, FALSE) / VLOOKUP("buildings|PM25|Infant mortality", US_national_yearly!$D:$AM, 10, FALSE), 1)</f>
        <v>3.2131027054514832E-5</v>
      </c>
      <c r="Z3" s="7">
        <f>$B3 * IFERROR(VLOOKUP("buildings|PM25|Infant mortality", US_national_yearly!$D:$AM, 34, FALSE) / VLOOKUP("buildings|PM25|Infant mortality", US_national_yearly!$D:$AM, 10, FALSE), 1)</f>
        <v>3.1937634792545422E-5</v>
      </c>
      <c r="AA3" s="7">
        <f>$B3 * IFERROR(VLOOKUP("buildings|PM25|Infant mortality", US_national_yearly!$D:$AM, 35, FALSE) / VLOOKUP("buildings|PM25|Infant mortality", US_national_yearly!$D:$AM, 10, FALSE), 1)</f>
        <v>3.1744242530576019E-5</v>
      </c>
      <c r="AB3" s="7">
        <f>$B3 * IFERROR(VLOOKUP("buildings|PM25|Infant mortality", US_national_yearly!$D:$AM, 36, FALSE) / VLOOKUP("buildings|PM25|Infant mortality", US_national_yearly!$D:$AM, 10, FALSE), 1)</f>
        <v>3.1550850268606622E-5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8.9906731998537617E-2</v>
      </c>
      <c r="C6" s="7">
        <f>$B6 * IFERROR(VLOOKUP("buildings|PM25|Asthma symptoms cough", US_national_yearly!$D:$AM, 11, FALSE) / VLOOKUP("buildings|PM25|Asthma symptoms cough", US_national_yearly!$D:$AM, 10, FALSE), 1)</f>
        <v>8.9906731998537617E-2</v>
      </c>
      <c r="D6" s="7">
        <f>$B6 * IFERROR(VLOOKUP("buildings|PM25|Asthma symptoms cough", US_national_yearly!$D:$AM, 12, FALSE) / VLOOKUP("buildings|PM25|Asthma symptoms cough", US_national_yearly!$D:$AM, 10, FALSE), 1)</f>
        <v>8.9906731998537617E-2</v>
      </c>
      <c r="E6" s="7">
        <f>$B6 * IFERROR(VLOOKUP("buildings|PM25|Asthma symptoms cough", US_national_yearly!$D:$AM, 13, FALSE) / VLOOKUP("buildings|PM25|Asthma symptoms cough", US_national_yearly!$D:$AM, 10, FALSE), 1)</f>
        <v>8.9906731998537617E-2</v>
      </c>
      <c r="F6" s="7">
        <f>$B6 * IFERROR(VLOOKUP("buildings|PM25|Asthma symptoms cough", US_national_yearly!$D:$AM, 14, FALSE) / VLOOKUP("buildings|PM25|Asthma symptoms cough", US_national_yearly!$D:$AM, 10, FALSE), 1)</f>
        <v>8.9906731998537617E-2</v>
      </c>
      <c r="G6" s="7">
        <f>$B6 * IFERROR(VLOOKUP("buildings|PM25|Asthma symptoms cough", US_national_yearly!$D:$AM, 15, FALSE) / VLOOKUP("buildings|PM25|Asthma symptoms cough", US_national_yearly!$D:$AM, 10, FALSE), 1)</f>
        <v>8.9906731998537617E-2</v>
      </c>
      <c r="H6" s="7">
        <f>$B6 * IFERROR(VLOOKUP("buildings|PM25|Asthma symptoms cough", US_national_yearly!$D:$AM, 16, FALSE) / VLOOKUP("buildings|PM25|Asthma symptoms cough", US_national_yearly!$D:$AM, 10, FALSE), 1)</f>
        <v>8.9906731998537617E-2</v>
      </c>
      <c r="I6" s="7">
        <f>$B6 * IFERROR(VLOOKUP("buildings|PM25|Asthma symptoms cough", US_national_yearly!$D:$AM, 17, FALSE) / VLOOKUP("buildings|PM25|Asthma symptoms cough", US_national_yearly!$D:$AM, 10, FALSE), 1)</f>
        <v>8.9906731998537617E-2</v>
      </c>
      <c r="J6" s="7">
        <f>$B6 * IFERROR(VLOOKUP("buildings|PM25|Asthma symptoms cough", US_national_yearly!$D:$AM, 18, FALSE) / VLOOKUP("buildings|PM25|Asthma symptoms cough", US_national_yearly!$D:$AM, 10, FALSE), 1)</f>
        <v>8.9906731998537617E-2</v>
      </c>
      <c r="K6" s="7">
        <f>$B6 * IFERROR(VLOOKUP("buildings|PM25|Asthma symptoms cough", US_national_yearly!$D:$AM, 19, FALSE) / VLOOKUP("buildings|PM25|Asthma symptoms cough", US_national_yearly!$D:$AM, 10, FALSE), 1)</f>
        <v>8.9906731998537617E-2</v>
      </c>
      <c r="L6" s="7">
        <f>$B6 * IFERROR(VLOOKUP("buildings|PM25|Asthma symptoms cough", US_national_yearly!$D:$AM, 20, FALSE) / VLOOKUP("buildings|PM25|Asthma symptoms cough", US_national_yearly!$D:$AM, 10, FALSE), 1)</f>
        <v>8.9906731998537617E-2</v>
      </c>
      <c r="M6" s="7">
        <f>$B6 * IFERROR(VLOOKUP("buildings|PM25|Asthma symptoms cough", US_national_yearly!$D:$AM, 21, FALSE) / VLOOKUP("buildings|PM25|Asthma symptoms cough", US_national_yearly!$D:$AM, 10, FALSE), 1)</f>
        <v>8.9906731998537617E-2</v>
      </c>
      <c r="N6" s="7">
        <f>$B6 * IFERROR(VLOOKUP("buildings|PM25|Asthma symptoms cough", US_national_yearly!$D:$AM, 22, FALSE) / VLOOKUP("buildings|PM25|Asthma symptoms cough", US_national_yearly!$D:$AM, 10, FALSE), 1)</f>
        <v>8.9906731998537617E-2</v>
      </c>
      <c r="O6" s="7">
        <f>$B6 * IFERROR(VLOOKUP("buildings|PM25|Asthma symptoms cough", US_national_yearly!$D:$AM, 23, FALSE) / VLOOKUP("buildings|PM25|Asthma symptoms cough", US_national_yearly!$D:$AM, 10, FALSE), 1)</f>
        <v>8.9906731998537617E-2</v>
      </c>
      <c r="P6" s="7">
        <f>$B6 * IFERROR(VLOOKUP("buildings|PM25|Asthma symptoms cough", US_national_yearly!$D:$AM, 24, FALSE) / VLOOKUP("buildings|PM25|Asthma symptoms cough", US_national_yearly!$D:$AM, 10, FALSE), 1)</f>
        <v>8.9906731998537617E-2</v>
      </c>
      <c r="Q6" s="7">
        <f>$B6 * IFERROR(VLOOKUP("buildings|PM25|Asthma symptoms cough", US_national_yearly!$D:$AM, 25, FALSE) / VLOOKUP("buildings|PM25|Asthma symptoms cough", US_national_yearly!$D:$AM, 10, FALSE), 1)</f>
        <v>8.9906731998537617E-2</v>
      </c>
      <c r="R6" s="7">
        <f>$B6 * IFERROR(VLOOKUP("buildings|PM25|Asthma symptoms cough", US_national_yearly!$D:$AM, 26, FALSE) / VLOOKUP("buildings|PM25|Asthma symptoms cough", US_national_yearly!$D:$AM, 10, FALSE), 1)</f>
        <v>8.9906731998537617E-2</v>
      </c>
      <c r="S6" s="7">
        <f>$B6 * IFERROR(VLOOKUP("buildings|PM25|Asthma symptoms cough", US_national_yearly!$D:$AM, 27, FALSE) / VLOOKUP("buildings|PM25|Asthma symptoms cough", US_national_yearly!$D:$AM, 10, FALSE), 1)</f>
        <v>8.9906731998537617E-2</v>
      </c>
      <c r="T6" s="7">
        <f>$B6 * IFERROR(VLOOKUP("buildings|PM25|Asthma symptoms cough", US_national_yearly!$D:$AM, 28, FALSE) / VLOOKUP("buildings|PM25|Asthma symptoms cough", US_national_yearly!$D:$AM, 10, FALSE), 1)</f>
        <v>8.9906731998537617E-2</v>
      </c>
      <c r="U6" s="7">
        <f>$B6 * IFERROR(VLOOKUP("buildings|PM25|Asthma symptoms cough", US_national_yearly!$D:$AM, 29, FALSE) / VLOOKUP("buildings|PM25|Asthma symptoms cough", US_national_yearly!$D:$AM, 10, FALSE), 1)</f>
        <v>8.9906731998537617E-2</v>
      </c>
      <c r="V6" s="7">
        <f>$B6 * IFERROR(VLOOKUP("buildings|PM25|Asthma symptoms cough", US_national_yearly!$D:$AM, 30, FALSE) / VLOOKUP("buildings|PM25|Asthma symptoms cough", US_national_yearly!$D:$AM, 10, FALSE), 1)</f>
        <v>8.9906731998537617E-2</v>
      </c>
      <c r="W6" s="7">
        <f>$B6 * IFERROR(VLOOKUP("buildings|PM25|Asthma symptoms cough", US_national_yearly!$D:$AM, 31, FALSE) / VLOOKUP("buildings|PM25|Asthma symptoms cough", US_national_yearly!$D:$AM, 10, FALSE), 1)</f>
        <v>8.9906731998537617E-2</v>
      </c>
      <c r="X6" s="7">
        <f>$B6 * IFERROR(VLOOKUP("buildings|PM25|Asthma symptoms cough", US_national_yearly!$D:$AM, 32, FALSE) / VLOOKUP("buildings|PM25|Asthma symptoms cough", US_national_yearly!$D:$AM, 10, FALSE), 1)</f>
        <v>8.9906731998537617E-2</v>
      </c>
      <c r="Y6" s="7">
        <f>$B6 * IFERROR(VLOOKUP("buildings|PM25|Asthma symptoms cough", US_national_yearly!$D:$AM, 33, FALSE) / VLOOKUP("buildings|PM25|Asthma symptoms cough", US_national_yearly!$D:$AM, 10, FALSE), 1)</f>
        <v>8.9906731998537617E-2</v>
      </c>
      <c r="Z6" s="7">
        <f>$B6 * IFERROR(VLOOKUP("buildings|PM25|Asthma symptoms cough", US_national_yearly!$D:$AM, 34, FALSE) / VLOOKUP("buildings|PM25|Asthma symptoms cough", US_national_yearly!$D:$AM, 10, FALSE), 1)</f>
        <v>8.9906731998537617E-2</v>
      </c>
      <c r="AA6" s="7">
        <f>$B6 * IFERROR(VLOOKUP("buildings|PM25|Asthma symptoms cough", US_national_yearly!$D:$AM, 35, FALSE) / VLOOKUP("buildings|PM25|Asthma symptoms cough", US_national_yearly!$D:$AM, 10, FALSE), 1)</f>
        <v>8.9906731998537617E-2</v>
      </c>
      <c r="AB6" s="7">
        <f>$B6 * IFERROR(VLOOKUP("buildings|PM25|Asthma symptoms cough", US_national_yearly!$D:$AM, 36, FALSE) / VLOOKUP("buildings|PM25|Asthma symptoms cough", US_national_yearly!$D:$AM, 10, FALSE), 1)</f>
        <v>8.9906731998537617E-2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0.1210723576521652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0.1210723576521652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0.1210723576521652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0.1210723576521652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0.1210723576521652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0.1210723576521652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0.1210723576521652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0.1210723576521652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0.1210723576521652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0.1210723576521652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0.1210723576521652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0.1210723576521652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0.1210723576521652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0.1210723576521652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0.1210723576521652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0.1210723576521652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0.1210723576521652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0.1210723576521652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0.1210723576521652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0.1210723576521652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0.1210723576521652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0.1210723576521652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0.1210723576521652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0.1210723576521652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0.1210723576521652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0.1210723576521652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0.1210723576521652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0.18497841054070213</v>
      </c>
      <c r="C8" s="7">
        <f>$B8 * IFERROR(VLOOKUP("buildings|PM25|Asthma symptoms wheeze", US_national_yearly!$D:$AM, 11, FALSE) / VLOOKUP("buildings|PM25|Asthma symptoms wheeze", US_national_yearly!$D:$AM, 10, FALSE), 1)</f>
        <v>0.18497841054070213</v>
      </c>
      <c r="D8" s="7">
        <f>$B8 * IFERROR(VLOOKUP("buildings|PM25|Asthma symptoms wheeze", US_national_yearly!$D:$AM, 12, FALSE) / VLOOKUP("buildings|PM25|Asthma symptoms wheeze", US_national_yearly!$D:$AM, 10, FALSE), 1)</f>
        <v>0.18497841054070213</v>
      </c>
      <c r="E8" s="7">
        <f>$B8 * IFERROR(VLOOKUP("buildings|PM25|Asthma symptoms wheeze", US_national_yearly!$D:$AM, 13, FALSE) / VLOOKUP("buildings|PM25|Asthma symptoms wheeze", US_national_yearly!$D:$AM, 10, FALSE), 1)</f>
        <v>0.18497841054070213</v>
      </c>
      <c r="F8" s="7">
        <f>$B8 * IFERROR(VLOOKUP("buildings|PM25|Asthma symptoms wheeze", US_national_yearly!$D:$AM, 14, FALSE) / VLOOKUP("buildings|PM25|Asthma symptoms wheeze", US_national_yearly!$D:$AM, 10, FALSE), 1)</f>
        <v>0.18497841054070213</v>
      </c>
      <c r="G8" s="7">
        <f>$B8 * IFERROR(VLOOKUP("buildings|PM25|Asthma symptoms wheeze", US_national_yearly!$D:$AM, 15, FALSE) / VLOOKUP("buildings|PM25|Asthma symptoms wheeze", US_national_yearly!$D:$AM, 10, FALSE), 1)</f>
        <v>0.18497841054070213</v>
      </c>
      <c r="H8" s="7">
        <f>$B8 * IFERROR(VLOOKUP("buildings|PM25|Asthma symptoms wheeze", US_national_yearly!$D:$AM, 16, FALSE) / VLOOKUP("buildings|PM25|Asthma symptoms wheeze", US_national_yearly!$D:$AM, 10, FALSE), 1)</f>
        <v>0.18497841054070213</v>
      </c>
      <c r="I8" s="7">
        <f>$B8 * IFERROR(VLOOKUP("buildings|PM25|Asthma symptoms wheeze", US_national_yearly!$D:$AM, 17, FALSE) / VLOOKUP("buildings|PM25|Asthma symptoms wheeze", US_national_yearly!$D:$AM, 10, FALSE), 1)</f>
        <v>0.18497841054070213</v>
      </c>
      <c r="J8" s="7">
        <f>$B8 * IFERROR(VLOOKUP("buildings|PM25|Asthma symptoms wheeze", US_national_yearly!$D:$AM, 18, FALSE) / VLOOKUP("buildings|PM25|Asthma symptoms wheeze", US_national_yearly!$D:$AM, 10, FALSE), 1)</f>
        <v>0.18497841054070213</v>
      </c>
      <c r="K8" s="7">
        <f>$B8 * IFERROR(VLOOKUP("buildings|PM25|Asthma symptoms wheeze", US_national_yearly!$D:$AM, 19, FALSE) / VLOOKUP("buildings|PM25|Asthma symptoms wheeze", US_national_yearly!$D:$AM, 10, FALSE), 1)</f>
        <v>0.18497841054070213</v>
      </c>
      <c r="L8" s="7">
        <f>$B8 * IFERROR(VLOOKUP("buildings|PM25|Asthma symptoms wheeze", US_national_yearly!$D:$AM, 20, FALSE) / VLOOKUP("buildings|PM25|Asthma symptoms wheeze", US_national_yearly!$D:$AM, 10, FALSE), 1)</f>
        <v>0.18497841054070213</v>
      </c>
      <c r="M8" s="7">
        <f>$B8 * IFERROR(VLOOKUP("buildings|PM25|Asthma symptoms wheeze", US_national_yearly!$D:$AM, 21, FALSE) / VLOOKUP("buildings|PM25|Asthma symptoms wheeze", US_national_yearly!$D:$AM, 10, FALSE), 1)</f>
        <v>0.18497841054070213</v>
      </c>
      <c r="N8" s="7">
        <f>$B8 * IFERROR(VLOOKUP("buildings|PM25|Asthma symptoms wheeze", US_national_yearly!$D:$AM, 22, FALSE) / VLOOKUP("buildings|PM25|Asthma symptoms wheeze", US_national_yearly!$D:$AM, 10, FALSE), 1)</f>
        <v>0.18497841054070213</v>
      </c>
      <c r="O8" s="7">
        <f>$B8 * IFERROR(VLOOKUP("buildings|PM25|Asthma symptoms wheeze", US_national_yearly!$D:$AM, 23, FALSE) / VLOOKUP("buildings|PM25|Asthma symptoms wheeze", US_national_yearly!$D:$AM, 10, FALSE), 1)</f>
        <v>0.18497841054070213</v>
      </c>
      <c r="P8" s="7">
        <f>$B8 * IFERROR(VLOOKUP("buildings|PM25|Asthma symptoms wheeze", US_national_yearly!$D:$AM, 24, FALSE) / VLOOKUP("buildings|PM25|Asthma symptoms wheeze", US_national_yearly!$D:$AM, 10, FALSE), 1)</f>
        <v>0.18497841054070213</v>
      </c>
      <c r="Q8" s="7">
        <f>$B8 * IFERROR(VLOOKUP("buildings|PM25|Asthma symptoms wheeze", US_national_yearly!$D:$AM, 25, FALSE) / VLOOKUP("buildings|PM25|Asthma symptoms wheeze", US_national_yearly!$D:$AM, 10, FALSE), 1)</f>
        <v>0.18497841054070213</v>
      </c>
      <c r="R8" s="7">
        <f>$B8 * IFERROR(VLOOKUP("buildings|PM25|Asthma symptoms wheeze", US_national_yearly!$D:$AM, 26, FALSE) / VLOOKUP("buildings|PM25|Asthma symptoms wheeze", US_national_yearly!$D:$AM, 10, FALSE), 1)</f>
        <v>0.18497841054070213</v>
      </c>
      <c r="S8" s="7">
        <f>$B8 * IFERROR(VLOOKUP("buildings|PM25|Asthma symptoms wheeze", US_national_yearly!$D:$AM, 27, FALSE) / VLOOKUP("buildings|PM25|Asthma symptoms wheeze", US_national_yearly!$D:$AM, 10, FALSE), 1)</f>
        <v>0.18497841054070213</v>
      </c>
      <c r="T8" s="7">
        <f>$B8 * IFERROR(VLOOKUP("buildings|PM25|Asthma symptoms wheeze", US_national_yearly!$D:$AM, 28, FALSE) / VLOOKUP("buildings|PM25|Asthma symptoms wheeze", US_national_yearly!$D:$AM, 10, FALSE), 1)</f>
        <v>0.18497841054070213</v>
      </c>
      <c r="U8" s="7">
        <f>$B8 * IFERROR(VLOOKUP("buildings|PM25|Asthma symptoms wheeze", US_national_yearly!$D:$AM, 29, FALSE) / VLOOKUP("buildings|PM25|Asthma symptoms wheeze", US_national_yearly!$D:$AM, 10, FALSE), 1)</f>
        <v>0.18497841054070213</v>
      </c>
      <c r="V8" s="7">
        <f>$B8 * IFERROR(VLOOKUP("buildings|PM25|Asthma symptoms wheeze", US_national_yearly!$D:$AM, 30, FALSE) / VLOOKUP("buildings|PM25|Asthma symptoms wheeze", US_national_yearly!$D:$AM, 10, FALSE), 1)</f>
        <v>0.18497841054070213</v>
      </c>
      <c r="W8" s="7">
        <f>$B8 * IFERROR(VLOOKUP("buildings|PM25|Asthma symptoms wheeze", US_national_yearly!$D:$AM, 31, FALSE) / VLOOKUP("buildings|PM25|Asthma symptoms wheeze", US_national_yearly!$D:$AM, 10, FALSE), 1)</f>
        <v>0.18497841054070213</v>
      </c>
      <c r="X8" s="7">
        <f>$B8 * IFERROR(VLOOKUP("buildings|PM25|Asthma symptoms wheeze", US_national_yearly!$D:$AM, 32, FALSE) / VLOOKUP("buildings|PM25|Asthma symptoms wheeze", US_national_yearly!$D:$AM, 10, FALSE), 1)</f>
        <v>0.18497841054070213</v>
      </c>
      <c r="Y8" s="7">
        <f>$B8 * IFERROR(VLOOKUP("buildings|PM25|Asthma symptoms wheeze", US_national_yearly!$D:$AM, 33, FALSE) / VLOOKUP("buildings|PM25|Asthma symptoms wheeze", US_national_yearly!$D:$AM, 10, FALSE), 1)</f>
        <v>0.18497841054070213</v>
      </c>
      <c r="Z8" s="7">
        <f>$B8 * IFERROR(VLOOKUP("buildings|PM25|Asthma symptoms wheeze", US_national_yearly!$D:$AM, 34, FALSE) / VLOOKUP("buildings|PM25|Asthma symptoms wheeze", US_national_yearly!$D:$AM, 10, FALSE), 1)</f>
        <v>0.18497841054070213</v>
      </c>
      <c r="AA8" s="7">
        <f>$B8 * IFERROR(VLOOKUP("buildings|PM25|Asthma symptoms wheeze", US_national_yearly!$D:$AM, 35, FALSE) / VLOOKUP("buildings|PM25|Asthma symptoms wheeze", US_national_yearly!$D:$AM, 10, FALSE), 1)</f>
        <v>0.18497841054070213</v>
      </c>
      <c r="AB8" s="7">
        <f>$B8 * IFERROR(VLOOKUP("buildings|PM25|Asthma symptoms wheeze", US_national_yearly!$D:$AM, 36, FALSE) / VLOOKUP("buildings|PM25|Asthma symptoms wheeze", US_national_yearly!$D:$AM, 10, FALSE), 1)</f>
        <v>0.18497841054070213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2.7629941451564658E-3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2.7789205028047291E-3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2.7948468604529928E-3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2.810773218101257E-3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2.8266995757495208E-3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2.8438855912024472E-3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2.8610716066553733E-3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2.8774170614528794E-3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2.8937625162503847E-3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2.91010797104789E-3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2.9264534258453961E-3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2.9427988806429014E-3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2.9545556905466279E-3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2.9663125004503544E-3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2.9780693103540813E-3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2.9898261202578069E-3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3.0015829301615333E-3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3.0127845001466278E-3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3.0239860701317227E-3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3.0351876401168171E-3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3.0463892101019112E-3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3.0575907800870061E-3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3.0684097210425666E-3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3.0792286619981271E-3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3.0900476029536873E-3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3.1008665439092482E-3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3.1116854848648083E-3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1.6363013888390062E-2</v>
      </c>
      <c r="C13" s="7">
        <f>$B13 * IFERROR(VLOOKUP("buildings|PM25|Non-fatal heart attacks", US_national_yearly!$D:$AM, 11, FALSE) / VLOOKUP("buildings|PM25|Non-fatal heart attacks", US_national_yearly!$D:$AM, 10, FALSE), 1)</f>
        <v>1.683895530145732E-2</v>
      </c>
      <c r="D13" s="7">
        <f>$B13 * IFERROR(VLOOKUP("buildings|PM25|Non-fatal heart attacks", US_national_yearly!$D:$AM, 12, FALSE) / VLOOKUP("buildings|PM25|Non-fatal heart attacks", US_national_yearly!$D:$AM, 10, FALSE), 1)</f>
        <v>1.7314896714524575E-2</v>
      </c>
      <c r="E13" s="7">
        <f>$B13 * IFERROR(VLOOKUP("buildings|PM25|Non-fatal heart attacks", US_national_yearly!$D:$AM, 13, FALSE) / VLOOKUP("buildings|PM25|Non-fatal heart attacks", US_national_yearly!$D:$AM, 10, FALSE), 1)</f>
        <v>1.7790838127591829E-2</v>
      </c>
      <c r="F13" s="7">
        <f>$B13 * IFERROR(VLOOKUP("buildings|PM25|Non-fatal heart attacks", US_national_yearly!$D:$AM, 14, FALSE) / VLOOKUP("buildings|PM25|Non-fatal heart attacks", US_national_yearly!$D:$AM, 10, FALSE), 1)</f>
        <v>1.8266779540659084E-2</v>
      </c>
      <c r="G13" s="7">
        <f>$B13 * IFERROR(VLOOKUP("buildings|PM25|Non-fatal heart attacks", US_national_yearly!$D:$AM, 15, FALSE) / VLOOKUP("buildings|PM25|Non-fatal heart attacks", US_national_yearly!$D:$AM, 10, FALSE), 1)</f>
        <v>1.8715857447361817E-2</v>
      </c>
      <c r="H13" s="7">
        <f>$B13 * IFERROR(VLOOKUP("buildings|PM25|Non-fatal heart attacks", US_national_yearly!$D:$AM, 16, FALSE) / VLOOKUP("buildings|PM25|Non-fatal heart attacks", US_national_yearly!$D:$AM, 10, FALSE), 1)</f>
        <v>1.9164935354064539E-2</v>
      </c>
      <c r="I13" s="7">
        <f>$B13 * IFERROR(VLOOKUP("buildings|PM25|Non-fatal heart attacks", US_national_yearly!$D:$AM, 17, FALSE) / VLOOKUP("buildings|PM25|Non-fatal heart attacks", US_national_yearly!$D:$AM, 10, FALSE), 1)</f>
        <v>1.9526253409367676E-2</v>
      </c>
      <c r="J13" s="7">
        <f>$B13 * IFERROR(VLOOKUP("buildings|PM25|Non-fatal heart attacks", US_national_yearly!$D:$AM, 18, FALSE) / VLOOKUP("buildings|PM25|Non-fatal heart attacks", US_national_yearly!$D:$AM, 10, FALSE), 1)</f>
        <v>1.9887571464670812E-2</v>
      </c>
      <c r="K13" s="7">
        <f>$B13 * IFERROR(VLOOKUP("buildings|PM25|Non-fatal heart attacks", US_national_yearly!$D:$AM, 19, FALSE) / VLOOKUP("buildings|PM25|Non-fatal heart attacks", US_national_yearly!$D:$AM, 10, FALSE), 1)</f>
        <v>2.0248889519973941E-2</v>
      </c>
      <c r="L13" s="7">
        <f>$B13 * IFERROR(VLOOKUP("buildings|PM25|Non-fatal heart attacks", US_national_yearly!$D:$AM, 20, FALSE) / VLOOKUP("buildings|PM25|Non-fatal heart attacks", US_national_yearly!$D:$AM, 10, FALSE), 1)</f>
        <v>2.0610207575277074E-2</v>
      </c>
      <c r="M13" s="7">
        <f>$B13 * IFERROR(VLOOKUP("buildings|PM25|Non-fatal heart attacks", US_national_yearly!$D:$AM, 21, FALSE) / VLOOKUP("buildings|PM25|Non-fatal heart attacks", US_national_yearly!$D:$AM, 10, FALSE), 1)</f>
        <v>2.0971525630580207E-2</v>
      </c>
      <c r="N13" s="7">
        <f>$B13 * IFERROR(VLOOKUP("buildings|PM25|Non-fatal heart attacks", US_national_yearly!$D:$AM, 22, FALSE) / VLOOKUP("buildings|PM25|Non-fatal heart attacks", US_national_yearly!$D:$AM, 10, FALSE), 1)</f>
        <v>2.1204942739278785E-2</v>
      </c>
      <c r="O13" s="7">
        <f>$B13 * IFERROR(VLOOKUP("buildings|PM25|Non-fatal heart attacks", US_national_yearly!$D:$AM, 23, FALSE) / VLOOKUP("buildings|PM25|Non-fatal heart attacks", US_national_yearly!$D:$AM, 10, FALSE), 1)</f>
        <v>2.1438359847977359E-2</v>
      </c>
      <c r="P13" s="7">
        <f>$B13 * IFERROR(VLOOKUP("buildings|PM25|Non-fatal heart attacks", US_national_yearly!$D:$AM, 24, FALSE) / VLOOKUP("buildings|PM25|Non-fatal heart attacks", US_national_yearly!$D:$AM, 10, FALSE), 1)</f>
        <v>2.167177695667593E-2</v>
      </c>
      <c r="Q13" s="7">
        <f>$B13 * IFERROR(VLOOKUP("buildings|PM25|Non-fatal heart attacks", US_national_yearly!$D:$AM, 25, FALSE) / VLOOKUP("buildings|PM25|Non-fatal heart attacks", US_national_yearly!$D:$AM, 10, FALSE), 1)</f>
        <v>2.1905194065374507E-2</v>
      </c>
      <c r="R13" s="7">
        <f>$B13 * IFERROR(VLOOKUP("buildings|PM25|Non-fatal heart attacks", US_national_yearly!$D:$AM, 26, FALSE) / VLOOKUP("buildings|PM25|Non-fatal heart attacks", US_national_yearly!$D:$AM, 10, FALSE), 1)</f>
        <v>2.2138611174073081E-2</v>
      </c>
      <c r="S13" s="7">
        <f>$B13 * IFERROR(VLOOKUP("buildings|PM25|Non-fatal heart attacks", US_national_yearly!$D:$AM, 27, FALSE) / VLOOKUP("buildings|PM25|Non-fatal heart attacks", US_national_yearly!$D:$AM, 10, FALSE), 1)</f>
        <v>2.2262067710103899E-2</v>
      </c>
      <c r="T13" s="7">
        <f>$B13 * IFERROR(VLOOKUP("buildings|PM25|Non-fatal heart attacks", US_national_yearly!$D:$AM, 28, FALSE) / VLOOKUP("buildings|PM25|Non-fatal heart attacks", US_national_yearly!$D:$AM, 10, FALSE), 1)</f>
        <v>2.2385524246134717E-2</v>
      </c>
      <c r="U13" s="7">
        <f>$B13 * IFERROR(VLOOKUP("buildings|PM25|Non-fatal heart attacks", US_national_yearly!$D:$AM, 29, FALSE) / VLOOKUP("buildings|PM25|Non-fatal heart attacks", US_national_yearly!$D:$AM, 10, FALSE), 1)</f>
        <v>2.2508980782165539E-2</v>
      </c>
      <c r="V13" s="7">
        <f>$B13 * IFERROR(VLOOKUP("buildings|PM25|Non-fatal heart attacks", US_national_yearly!$D:$AM, 30, FALSE) / VLOOKUP("buildings|PM25|Non-fatal heart attacks", US_national_yearly!$D:$AM, 10, FALSE), 1)</f>
        <v>2.2632437318196356E-2</v>
      </c>
      <c r="W13" s="7">
        <f>$B13 * IFERROR(VLOOKUP("buildings|PM25|Non-fatal heart attacks", US_national_yearly!$D:$AM, 31, FALSE) / VLOOKUP("buildings|PM25|Non-fatal heart attacks", US_national_yearly!$D:$AM, 10, FALSE), 1)</f>
        <v>2.2755893854227178E-2</v>
      </c>
      <c r="X13" s="7">
        <f>$B13 * IFERROR(VLOOKUP("buildings|PM25|Non-fatal heart attacks", US_national_yearly!$D:$AM, 32, FALSE) / VLOOKUP("buildings|PM25|Non-fatal heart attacks", US_national_yearly!$D:$AM, 10, FALSE), 1)</f>
        <v>2.2849853295204954E-2</v>
      </c>
      <c r="Y13" s="7">
        <f>$B13 * IFERROR(VLOOKUP("buildings|PM25|Non-fatal heart attacks", US_national_yearly!$D:$AM, 33, FALSE) / VLOOKUP("buildings|PM25|Non-fatal heart attacks", US_national_yearly!$D:$AM, 10, FALSE), 1)</f>
        <v>2.2943812736182734E-2</v>
      </c>
      <c r="Z13" s="7">
        <f>$B13 * IFERROR(VLOOKUP("buildings|PM25|Non-fatal heart attacks", US_national_yearly!$D:$AM, 34, FALSE) / VLOOKUP("buildings|PM25|Non-fatal heart attacks", US_national_yearly!$D:$AM, 10, FALSE), 1)</f>
        <v>2.3037772177160507E-2</v>
      </c>
      <c r="AA13" s="7">
        <f>$B13 * IFERROR(VLOOKUP("buildings|PM25|Non-fatal heart attacks", US_national_yearly!$D:$AM, 35, FALSE) / VLOOKUP("buildings|PM25|Non-fatal heart attacks", US_national_yearly!$D:$AM, 10, FALSE), 1)</f>
        <v>2.3131731618138286E-2</v>
      </c>
      <c r="AB13" s="7">
        <f>$B13 * IFERROR(VLOOKUP("buildings|PM25|Non-fatal heart attacks", US_national_yearly!$D:$AM, 36, FALSE) / VLOOKUP("buildings|PM25|Non-fatal heart attacks", US_national_yearly!$D:$AM, 10, FALSE), 1)</f>
        <v>2.3225691059116066E-2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10.951684602553561</v>
      </c>
      <c r="C14" s="7">
        <f>$B14 * IFERROR(VLOOKUP("buildings|PM25|Minor restricted activity days", US_national_yearly!$D:$AM, 11, FALSE) / VLOOKUP("buildings|PM25|Minor restricted activity days", US_national_yearly!$D:$AM, 10, FALSE), 1)</f>
        <v>10.978922056138451</v>
      </c>
      <c r="D14" s="7">
        <f>$B14 * IFERROR(VLOOKUP("buildings|PM25|Minor restricted activity days", US_national_yearly!$D:$AM, 12, FALSE) / VLOOKUP("buildings|PM25|Minor restricted activity days", US_national_yearly!$D:$AM, 10, FALSE), 1)</f>
        <v>11.006159509723343</v>
      </c>
      <c r="E14" s="7">
        <f>$B14 * IFERROR(VLOOKUP("buildings|PM25|Minor restricted activity days", US_national_yearly!$D:$AM, 13, FALSE) / VLOOKUP("buildings|PM25|Minor restricted activity days", US_national_yearly!$D:$AM, 10, FALSE), 1)</f>
        <v>11.033396963308233</v>
      </c>
      <c r="F14" s="7">
        <f>$B14 * IFERROR(VLOOKUP("buildings|PM25|Minor restricted activity days", US_national_yearly!$D:$AM, 14, FALSE) / VLOOKUP("buildings|PM25|Minor restricted activity days", US_national_yearly!$D:$AM, 10, FALSE), 1)</f>
        <v>11.060634416893121</v>
      </c>
      <c r="G14" s="7">
        <f>$B14 * IFERROR(VLOOKUP("buildings|PM25|Minor restricted activity days", US_national_yearly!$D:$AM, 15, FALSE) / VLOOKUP("buildings|PM25|Minor restricted activity days", US_national_yearly!$D:$AM, 10, FALSE), 1)</f>
        <v>11.100583491419895</v>
      </c>
      <c r="H14" s="7">
        <f>$B14 * IFERROR(VLOOKUP("buildings|PM25|Minor restricted activity days", US_national_yearly!$D:$AM, 16, FALSE) / VLOOKUP("buildings|PM25|Minor restricted activity days", US_national_yearly!$D:$AM, 10, FALSE), 1)</f>
        <v>11.140532565946664</v>
      </c>
      <c r="I14" s="7">
        <f>$B14 * IFERROR(VLOOKUP("buildings|PM25|Minor restricted activity days", US_national_yearly!$D:$AM, 17, FALSE) / VLOOKUP("buildings|PM25|Minor restricted activity days", US_national_yearly!$D:$AM, 10, FALSE), 1)</f>
        <v>11.20846392582837</v>
      </c>
      <c r="J14" s="7">
        <f>$B14 * IFERROR(VLOOKUP("buildings|PM25|Minor restricted activity days", US_national_yearly!$D:$AM, 18, FALSE) / VLOOKUP("buildings|PM25|Minor restricted activity days", US_national_yearly!$D:$AM, 10, FALSE), 1)</f>
        <v>11.276395285710082</v>
      </c>
      <c r="K14" s="7">
        <f>$B14 * IFERROR(VLOOKUP("buildings|PM25|Minor restricted activity days", US_national_yearly!$D:$AM, 19, FALSE) / VLOOKUP("buildings|PM25|Minor restricted activity days", US_national_yearly!$D:$AM, 10, FALSE), 1)</f>
        <v>11.344326645591785</v>
      </c>
      <c r="L14" s="7">
        <f>$B14 * IFERROR(VLOOKUP("buildings|PM25|Minor restricted activity days", US_national_yearly!$D:$AM, 20, FALSE) / VLOOKUP("buildings|PM25|Minor restricted activity days", US_national_yearly!$D:$AM, 10, FALSE), 1)</f>
        <v>11.41225800547349</v>
      </c>
      <c r="M14" s="7">
        <f>$B14 * IFERROR(VLOOKUP("buildings|PM25|Minor restricted activity days", US_national_yearly!$D:$AM, 21, FALSE) / VLOOKUP("buildings|PM25|Minor restricted activity days", US_national_yearly!$D:$AM, 10, FALSE), 1)</f>
        <v>11.480189365355194</v>
      </c>
      <c r="N14" s="7">
        <f>$B14 * IFERROR(VLOOKUP("buildings|PM25|Minor restricted activity days", US_national_yearly!$D:$AM, 22, FALSE) / VLOOKUP("buildings|PM25|Minor restricted activity days", US_national_yearly!$D:$AM, 10, FALSE), 1)</f>
        <v>11.572491694063537</v>
      </c>
      <c r="O14" s="7">
        <f>$B14 * IFERROR(VLOOKUP("buildings|PM25|Minor restricted activity days", US_national_yearly!$D:$AM, 23, FALSE) / VLOOKUP("buildings|PM25|Minor restricted activity days", US_national_yearly!$D:$AM, 10, FALSE), 1)</f>
        <v>11.664794022771877</v>
      </c>
      <c r="P14" s="7">
        <f>$B14 * IFERROR(VLOOKUP("buildings|PM25|Minor restricted activity days", US_national_yearly!$D:$AM, 24, FALSE) / VLOOKUP("buildings|PM25|Minor restricted activity days", US_national_yearly!$D:$AM, 10, FALSE), 1)</f>
        <v>11.757096351480218</v>
      </c>
      <c r="Q14" s="7">
        <f>$B14 * IFERROR(VLOOKUP("buildings|PM25|Minor restricted activity days", US_national_yearly!$D:$AM, 25, FALSE) / VLOOKUP("buildings|PM25|Minor restricted activity days", US_national_yearly!$D:$AM, 10, FALSE), 1)</f>
        <v>11.849398680188557</v>
      </c>
      <c r="R14" s="7">
        <f>$B14 * IFERROR(VLOOKUP("buildings|PM25|Minor restricted activity days", US_national_yearly!$D:$AM, 26, FALSE) / VLOOKUP("buildings|PM25|Minor restricted activity days", US_national_yearly!$D:$AM, 10, FALSE), 1)</f>
        <v>11.941701008896898</v>
      </c>
      <c r="S14" s="7">
        <f>$B14 * IFERROR(VLOOKUP("buildings|PM25|Minor restricted activity days", US_national_yearly!$D:$AM, 27, FALSE) / VLOOKUP("buildings|PM25|Minor restricted activity days", US_national_yearly!$D:$AM, 10, FALSE), 1)</f>
        <v>12.034575340129356</v>
      </c>
      <c r="T14" s="7">
        <f>$B14 * IFERROR(VLOOKUP("buildings|PM25|Minor restricted activity days", US_national_yearly!$D:$AM, 28, FALSE) / VLOOKUP("buildings|PM25|Minor restricted activity days", US_national_yearly!$D:$AM, 10, FALSE), 1)</f>
        <v>12.127449671361813</v>
      </c>
      <c r="U14" s="7">
        <f>$B14 * IFERROR(VLOOKUP("buildings|PM25|Minor restricted activity days", US_national_yearly!$D:$AM, 29, FALSE) / VLOOKUP("buildings|PM25|Minor restricted activity days", US_national_yearly!$D:$AM, 10, FALSE), 1)</f>
        <v>12.220324002594271</v>
      </c>
      <c r="V14" s="7">
        <f>$B14 * IFERROR(VLOOKUP("buildings|PM25|Minor restricted activity days", US_national_yearly!$D:$AM, 30, FALSE) / VLOOKUP("buildings|PM25|Minor restricted activity days", US_national_yearly!$D:$AM, 10, FALSE), 1)</f>
        <v>12.313198333826728</v>
      </c>
      <c r="W14" s="7">
        <f>$B14 * IFERROR(VLOOKUP("buildings|PM25|Minor restricted activity days", US_national_yearly!$D:$AM, 31, FALSE) / VLOOKUP("buildings|PM25|Minor restricted activity days", US_national_yearly!$D:$AM, 10, FALSE), 1)</f>
        <v>12.406072665059188</v>
      </c>
      <c r="X14" s="7">
        <f>$B14 * IFERROR(VLOOKUP("buildings|PM25|Minor restricted activity days", US_national_yearly!$D:$AM, 32, FALSE) / VLOOKUP("buildings|PM25|Minor restricted activity days", US_national_yearly!$D:$AM, 10, FALSE), 1)</f>
        <v>12.486715966069205</v>
      </c>
      <c r="Y14" s="7">
        <f>$B14 * IFERROR(VLOOKUP("buildings|PM25|Minor restricted activity days", US_national_yearly!$D:$AM, 33, FALSE) / VLOOKUP("buildings|PM25|Minor restricted activity days", US_national_yearly!$D:$AM, 10, FALSE), 1)</f>
        <v>12.567359267079221</v>
      </c>
      <c r="Z14" s="7">
        <f>$B14 * IFERROR(VLOOKUP("buildings|PM25|Minor restricted activity days", US_national_yearly!$D:$AM, 34, FALSE) / VLOOKUP("buildings|PM25|Minor restricted activity days", US_national_yearly!$D:$AM, 10, FALSE), 1)</f>
        <v>12.648002568089234</v>
      </c>
      <c r="AA14" s="7">
        <f>$B14 * IFERROR(VLOOKUP("buildings|PM25|Minor restricted activity days", US_national_yearly!$D:$AM, 35, FALSE) / VLOOKUP("buildings|PM25|Minor restricted activity days", US_national_yearly!$D:$AM, 10, FALSE), 1)</f>
        <v>12.72864586909925</v>
      </c>
      <c r="AB14" s="7">
        <f>$B14 * IFERROR(VLOOKUP("buildings|PM25|Minor restricted activity days", US_national_yearly!$D:$AM, 36, FALSE) / VLOOKUP("buildings|PM25|Minor restricted activity days", US_national_yearly!$D:$AM, 10, FALSE), 1)</f>
        <v>12.809289170109265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1.8536013658155162</v>
      </c>
      <c r="C15" s="7">
        <f>$B15 * IFERROR(VLOOKUP("buildings|PM25|Work loss days", US_national_yearly!$D:$AM, 11, FALSE) / VLOOKUP("buildings|PM25|Work loss days", US_national_yearly!$D:$AM, 10, FALSE), 1)</f>
        <v>1.8594183666493358</v>
      </c>
      <c r="D15" s="7">
        <f>$B15 * IFERROR(VLOOKUP("buildings|PM25|Work loss days", US_national_yearly!$D:$AM, 12, FALSE) / VLOOKUP("buildings|PM25|Work loss days", US_national_yearly!$D:$AM, 10, FALSE), 1)</f>
        <v>1.8652353674831552</v>
      </c>
      <c r="E15" s="7">
        <f>$B15 * IFERROR(VLOOKUP("buildings|PM25|Work loss days", US_national_yearly!$D:$AM, 13, FALSE) / VLOOKUP("buildings|PM25|Work loss days", US_national_yearly!$D:$AM, 10, FALSE), 1)</f>
        <v>1.8710523683169746</v>
      </c>
      <c r="F15" s="7">
        <f>$B15 * IFERROR(VLOOKUP("buildings|PM25|Work loss days", US_national_yearly!$D:$AM, 14, FALSE) / VLOOKUP("buildings|PM25|Work loss days", US_national_yearly!$D:$AM, 10, FALSE), 1)</f>
        <v>1.8768693691507938</v>
      </c>
      <c r="G15" s="7">
        <f>$B15 * IFERROR(VLOOKUP("buildings|PM25|Work loss days", US_national_yearly!$D:$AM, 15, FALSE) / VLOOKUP("buildings|PM25|Work loss days", US_national_yearly!$D:$AM, 10, FALSE), 1)</f>
        <v>1.884472710526109</v>
      </c>
      <c r="H15" s="7">
        <f>$B15 * IFERROR(VLOOKUP("buildings|PM25|Work loss days", US_national_yearly!$D:$AM, 16, FALSE) / VLOOKUP("buildings|PM25|Work loss days", US_national_yearly!$D:$AM, 10, FALSE), 1)</f>
        <v>1.8920760519014241</v>
      </c>
      <c r="I15" s="7">
        <f>$B15 * IFERROR(VLOOKUP("buildings|PM25|Work loss days", US_national_yearly!$D:$AM, 17, FALSE) / VLOOKUP("buildings|PM25|Work loss days", US_national_yearly!$D:$AM, 10, FALSE), 1)</f>
        <v>1.9032428231865586</v>
      </c>
      <c r="J15" s="7">
        <f>$B15 * IFERROR(VLOOKUP("buildings|PM25|Work loss days", US_national_yearly!$D:$AM, 18, FALSE) / VLOOKUP("buildings|PM25|Work loss days", US_national_yearly!$D:$AM, 10, FALSE), 1)</f>
        <v>1.914409594471693</v>
      </c>
      <c r="K15" s="7">
        <f>$B15 * IFERROR(VLOOKUP("buildings|PM25|Work loss days", US_national_yearly!$D:$AM, 19, FALSE) / VLOOKUP("buildings|PM25|Work loss days", US_national_yearly!$D:$AM, 10, FALSE), 1)</f>
        <v>1.9255763657568274</v>
      </c>
      <c r="L15" s="7">
        <f>$B15 * IFERROR(VLOOKUP("buildings|PM25|Work loss days", US_national_yearly!$D:$AM, 20, FALSE) / VLOOKUP("buildings|PM25|Work loss days", US_national_yearly!$D:$AM, 10, FALSE), 1)</f>
        <v>1.9367431370419621</v>
      </c>
      <c r="M15" s="7">
        <f>$B15 * IFERROR(VLOOKUP("buildings|PM25|Work loss days", US_national_yearly!$D:$AM, 21, FALSE) / VLOOKUP("buildings|PM25|Work loss days", US_national_yearly!$D:$AM, 10, FALSE), 1)</f>
        <v>1.947909908327097</v>
      </c>
      <c r="N15" s="7">
        <f>$B15 * IFERROR(VLOOKUP("buildings|PM25|Work loss days", US_national_yearly!$D:$AM, 22, FALSE) / VLOOKUP("buildings|PM25|Work loss days", US_national_yearly!$D:$AM, 10, FALSE), 1)</f>
        <v>1.9619495038111474</v>
      </c>
      <c r="O15" s="7">
        <f>$B15 * IFERROR(VLOOKUP("buildings|PM25|Work loss days", US_national_yearly!$D:$AM, 23, FALSE) / VLOOKUP("buildings|PM25|Work loss days", US_national_yearly!$D:$AM, 10, FALSE), 1)</f>
        <v>1.9759890992951983</v>
      </c>
      <c r="P15" s="7">
        <f>$B15 * IFERROR(VLOOKUP("buildings|PM25|Work loss days", US_national_yearly!$D:$AM, 24, FALSE) / VLOOKUP("buildings|PM25|Work loss days", US_national_yearly!$D:$AM, 10, FALSE), 1)</f>
        <v>1.9900286947792487</v>
      </c>
      <c r="Q15" s="7">
        <f>$B15 * IFERROR(VLOOKUP("buildings|PM25|Work loss days", US_national_yearly!$D:$AM, 25, FALSE) / VLOOKUP("buildings|PM25|Work loss days", US_national_yearly!$D:$AM, 10, FALSE), 1)</f>
        <v>2.0040682902632989</v>
      </c>
      <c r="R15" s="7">
        <f>$B15 * IFERROR(VLOOKUP("buildings|PM25|Work loss days", US_national_yearly!$D:$AM, 26, FALSE) / VLOOKUP("buildings|PM25|Work loss days", US_national_yearly!$D:$AM, 10, FALSE), 1)</f>
        <v>2.0181078857473498</v>
      </c>
      <c r="S15" s="7">
        <f>$B15 * IFERROR(VLOOKUP("buildings|PM25|Work loss days", US_national_yearly!$D:$AM, 27, FALSE) / VLOOKUP("buildings|PM25|Work loss days", US_national_yearly!$D:$AM, 10, FALSE), 1)</f>
        <v>2.0336163638482883</v>
      </c>
      <c r="T15" s="7">
        <f>$B15 * IFERROR(VLOOKUP("buildings|PM25|Work loss days", US_national_yearly!$D:$AM, 28, FALSE) / VLOOKUP("buildings|PM25|Work loss days", US_national_yearly!$D:$AM, 10, FALSE), 1)</f>
        <v>2.0491248419492272</v>
      </c>
      <c r="U15" s="7">
        <f>$B15 * IFERROR(VLOOKUP("buildings|PM25|Work loss days", US_national_yearly!$D:$AM, 29, FALSE) / VLOOKUP("buildings|PM25|Work loss days", US_national_yearly!$D:$AM, 10, FALSE), 1)</f>
        <v>2.0646333200501661</v>
      </c>
      <c r="V15" s="7">
        <f>$B15 * IFERROR(VLOOKUP("buildings|PM25|Work loss days", US_national_yearly!$D:$AM, 30, FALSE) / VLOOKUP("buildings|PM25|Work loss days", US_national_yearly!$D:$AM, 10, FALSE), 1)</f>
        <v>2.0801417981511041</v>
      </c>
      <c r="W15" s="7">
        <f>$B15 * IFERROR(VLOOKUP("buildings|PM25|Work loss days", US_national_yearly!$D:$AM, 31, FALSE) / VLOOKUP("buildings|PM25|Work loss days", US_national_yearly!$D:$AM, 10, FALSE), 1)</f>
        <v>2.095650276252043</v>
      </c>
      <c r="X15" s="7">
        <f>$B15 * IFERROR(VLOOKUP("buildings|PM25|Work loss days", US_national_yearly!$D:$AM, 32, FALSE) / VLOOKUP("buildings|PM25|Work loss days", US_national_yearly!$D:$AM, 10, FALSE), 1)</f>
        <v>2.1094125724627202</v>
      </c>
      <c r="Y15" s="7">
        <f>$B15 * IFERROR(VLOOKUP("buildings|PM25|Work loss days", US_national_yearly!$D:$AM, 33, FALSE) / VLOOKUP("buildings|PM25|Work loss days", US_national_yearly!$D:$AM, 10, FALSE), 1)</f>
        <v>2.1231748686733973</v>
      </c>
      <c r="Z15" s="7">
        <f>$B15 * IFERROR(VLOOKUP("buildings|PM25|Work loss days", US_national_yearly!$D:$AM, 34, FALSE) / VLOOKUP("buildings|PM25|Work loss days", US_national_yearly!$D:$AM, 10, FALSE), 1)</f>
        <v>2.1369371648840745</v>
      </c>
      <c r="AA15" s="7">
        <f>$B15 * IFERROR(VLOOKUP("buildings|PM25|Work loss days", US_national_yearly!$D:$AM, 35, FALSE) / VLOOKUP("buildings|PM25|Work loss days", US_national_yearly!$D:$AM, 10, FALSE), 1)</f>
        <v>2.1506994610947516</v>
      </c>
      <c r="AB15" s="7">
        <f>$B15 * IFERROR(VLOOKUP("buildings|PM25|Work loss days", US_national_yearly!$D:$AM, 36, FALSE) / VLOOKUP("buildings|PM25|Work loss days", US_national_yearly!$D:$AM, 10, FALSE), 1)</f>
        <v>2.1644617573054288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4.1144845012848147E-3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4.2374514116002467E-3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4.3604183219156777E-3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4.4833852322311088E-3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4.6063521425465399E-3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4.7241730562852437E-3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4.8419939700239485E-3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4.9428595126636945E-3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5.0437250553034404E-3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5.1445905979431873E-3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5.2454561405829341E-3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5.3463216832226818E-3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5.4136747299633713E-3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5.4810277767040616E-3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5.5483808234447519E-3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5.6157338701854423E-3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5.6830869169261326E-3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5.7188760656041492E-3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5.754665214282164E-3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5.7904543629601806E-3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5.8262435116381963E-3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5.8620326603162137E-3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5.8862317256608452E-3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5.9104307910054759E-3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5.9346298563501083E-3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5.958828921694739E-3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5.9830279870393714E-3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1.9154146959697912E-3</v>
      </c>
      <c r="C2" s="7">
        <f>$B2 * IFERROR(VLOOKUP("buildings|NOx|Premature mortality", US_national_yearly!$D:$AM, 11, FALSE) / VLOOKUP("buildings|NOx|Premature mortality", US_national_yearly!$D:$AM, 10, FALSE), 1)</f>
        <v>1.9435879253424889E-3</v>
      </c>
      <c r="D2" s="7">
        <f>$B2 * IFERROR(VLOOKUP("buildings|NOx|Premature mortality", US_national_yearly!$D:$AM, 12, FALSE) / VLOOKUP("buildings|NOx|Premature mortality", US_national_yearly!$D:$AM, 10, FALSE), 1)</f>
        <v>1.9717611547151862E-3</v>
      </c>
      <c r="E2" s="7">
        <f>$B2 * IFERROR(VLOOKUP("buildings|NOx|Premature mortality", US_national_yearly!$D:$AM, 13, FALSE) / VLOOKUP("buildings|NOx|Premature mortality", US_national_yearly!$D:$AM, 10, FALSE), 1)</f>
        <v>1.9999343840878835E-3</v>
      </c>
      <c r="F2" s="7">
        <f>$B2 * IFERROR(VLOOKUP("buildings|NOx|Premature mortality", US_national_yearly!$D:$AM, 14, FALSE) / VLOOKUP("buildings|NOx|Premature mortality", US_national_yearly!$D:$AM, 10, FALSE), 1)</f>
        <v>2.0281076134605809E-3</v>
      </c>
      <c r="G2" s="7">
        <f>$B2 * IFERROR(VLOOKUP("buildings|NOx|Premature mortality", US_national_yearly!$D:$AM, 15, FALSE) / VLOOKUP("buildings|NOx|Premature mortality", US_national_yearly!$D:$AM, 10, FALSE), 1)</f>
        <v>2.0786887693265959E-3</v>
      </c>
      <c r="H2" s="7">
        <f>$B2 * IFERROR(VLOOKUP("buildings|NOx|Premature mortality", US_national_yearly!$D:$AM, 16, FALSE) / VLOOKUP("buildings|NOx|Premature mortality", US_national_yearly!$D:$AM, 10, FALSE), 1)</f>
        <v>2.1292699251926114E-3</v>
      </c>
      <c r="I2" s="7">
        <f>$B2 * IFERROR(VLOOKUP("buildings|NOx|Premature mortality", US_national_yearly!$D:$AM, 17, FALSE) / VLOOKUP("buildings|NOx|Premature mortality", US_national_yearly!$D:$AM, 10, FALSE), 1)</f>
        <v>2.1619581928119021E-3</v>
      </c>
      <c r="J2" s="7">
        <f>$B2 * IFERROR(VLOOKUP("buildings|NOx|Premature mortality", US_national_yearly!$D:$AM, 18, FALSE) / VLOOKUP("buildings|NOx|Premature mortality", US_national_yearly!$D:$AM, 10, FALSE), 1)</f>
        <v>2.1946464604311929E-3</v>
      </c>
      <c r="K2" s="7">
        <f>$B2 * IFERROR(VLOOKUP("buildings|NOx|Premature mortality", US_national_yearly!$D:$AM, 19, FALSE) / VLOOKUP("buildings|NOx|Premature mortality", US_national_yearly!$D:$AM, 10, FALSE), 1)</f>
        <v>2.2273347280504837E-3</v>
      </c>
      <c r="L2" s="7">
        <f>$B2 * IFERROR(VLOOKUP("buildings|NOx|Premature mortality", US_national_yearly!$D:$AM, 20, FALSE) / VLOOKUP("buildings|NOx|Premature mortality", US_national_yearly!$D:$AM, 10, FALSE), 1)</f>
        <v>2.2600229956697745E-3</v>
      </c>
      <c r="M2" s="7">
        <f>$B2 * IFERROR(VLOOKUP("buildings|NOx|Premature mortality", US_national_yearly!$D:$AM, 21, FALSE) / VLOOKUP("buildings|NOx|Premature mortality", US_national_yearly!$D:$AM, 10, FALSE), 1)</f>
        <v>2.2927112632890657E-3</v>
      </c>
      <c r="N2" s="7">
        <f>$B2 * IFERROR(VLOOKUP("buildings|NOx|Premature mortality", US_national_yearly!$D:$AM, 22, FALSE) / VLOOKUP("buildings|NOx|Premature mortality", US_national_yearly!$D:$AM, 10, FALSE), 1)</f>
        <v>2.3169320217827395E-3</v>
      </c>
      <c r="O2" s="7">
        <f>$B2 * IFERROR(VLOOKUP("buildings|NOx|Premature mortality", US_national_yearly!$D:$AM, 23, FALSE) / VLOOKUP("buildings|NOx|Premature mortality", US_national_yearly!$D:$AM, 10, FALSE), 1)</f>
        <v>2.3411527802764142E-3</v>
      </c>
      <c r="P2" s="7">
        <f>$B2 * IFERROR(VLOOKUP("buildings|NOx|Premature mortality", US_national_yearly!$D:$AM, 24, FALSE) / VLOOKUP("buildings|NOx|Premature mortality", US_national_yearly!$D:$AM, 10, FALSE), 1)</f>
        <v>2.3653735387700885E-3</v>
      </c>
      <c r="Q2" s="7">
        <f>$B2 * IFERROR(VLOOKUP("buildings|NOx|Premature mortality", US_national_yearly!$D:$AM, 25, FALSE) / VLOOKUP("buildings|NOx|Premature mortality", US_national_yearly!$D:$AM, 10, FALSE), 1)</f>
        <v>2.3895942972637627E-3</v>
      </c>
      <c r="R2" s="7">
        <f>$B2 * IFERROR(VLOOKUP("buildings|NOx|Premature mortality", US_national_yearly!$D:$AM, 26, FALSE) / VLOOKUP("buildings|NOx|Premature mortality", US_national_yearly!$D:$AM, 10, FALSE), 1)</f>
        <v>2.4138150557574374E-3</v>
      </c>
      <c r="S2" s="7">
        <f>$B2 * IFERROR(VLOOKUP("buildings|NOx|Premature mortality", US_national_yearly!$D:$AM, 27, FALSE) / VLOOKUP("buildings|NOx|Premature mortality", US_national_yearly!$D:$AM, 10, FALSE), 1)</f>
        <v>2.4248267674886587E-3</v>
      </c>
      <c r="T2" s="7">
        <f>$B2 * IFERROR(VLOOKUP("buildings|NOx|Premature mortality", US_national_yearly!$D:$AM, 28, FALSE) / VLOOKUP("buildings|NOx|Premature mortality", US_national_yearly!$D:$AM, 10, FALSE), 1)</f>
        <v>2.43583847921988E-3</v>
      </c>
      <c r="U2" s="7">
        <f>$B2 * IFERROR(VLOOKUP("buildings|NOx|Premature mortality", US_national_yearly!$D:$AM, 29, FALSE) / VLOOKUP("buildings|NOx|Premature mortality", US_national_yearly!$D:$AM, 10, FALSE), 1)</f>
        <v>2.4468501909511013E-3</v>
      </c>
      <c r="V2" s="7">
        <f>$B2 * IFERROR(VLOOKUP("buildings|NOx|Premature mortality", US_national_yearly!$D:$AM, 30, FALSE) / VLOOKUP("buildings|NOx|Premature mortality", US_national_yearly!$D:$AM, 10, FALSE), 1)</f>
        <v>2.457861902682323E-3</v>
      </c>
      <c r="W2" s="7">
        <f>$B2 * IFERROR(VLOOKUP("buildings|NOx|Premature mortality", US_national_yearly!$D:$AM, 31, FALSE) / VLOOKUP("buildings|NOx|Premature mortality", US_national_yearly!$D:$AM, 10, FALSE), 1)</f>
        <v>2.4688736144135438E-3</v>
      </c>
      <c r="X2" s="7">
        <f>$B2 * IFERROR(VLOOKUP("buildings|NOx|Premature mortality", US_national_yearly!$D:$AM, 32, FALSE) / VLOOKUP("buildings|NOx|Premature mortality", US_national_yearly!$D:$AM, 10, FALSE), 1)</f>
        <v>2.4692614379243161E-3</v>
      </c>
      <c r="Y2" s="7">
        <f>$B2 * IFERROR(VLOOKUP("buildings|NOx|Premature mortality", US_national_yearly!$D:$AM, 33, FALSE) / VLOOKUP("buildings|NOx|Premature mortality", US_national_yearly!$D:$AM, 10, FALSE), 1)</f>
        <v>2.469649261435088E-3</v>
      </c>
      <c r="Z2" s="7">
        <f>$B2 * IFERROR(VLOOKUP("buildings|NOx|Premature mortality", US_national_yearly!$D:$AM, 34, FALSE) / VLOOKUP("buildings|NOx|Premature mortality", US_national_yearly!$D:$AM, 10, FALSE), 1)</f>
        <v>2.4700370849458603E-3</v>
      </c>
      <c r="AA2" s="7">
        <f>$B2 * IFERROR(VLOOKUP("buildings|NOx|Premature mortality", US_national_yearly!$D:$AM, 35, FALSE) / VLOOKUP("buildings|NOx|Premature mortality", US_national_yearly!$D:$AM, 10, FALSE), 1)</f>
        <v>2.4704249084566317E-3</v>
      </c>
      <c r="AB2" s="7">
        <f>$B2 * IFERROR(VLOOKUP("buildings|NOx|Premature mortality", US_national_yearly!$D:$AM, 36, FALSE) / VLOOKUP("buildings|NOx|Premature mortality", US_national_yearly!$D:$AM, 10, FALSE), 1)</f>
        <v>2.4708127319674044E-3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5.0777021044871309E-6</v>
      </c>
      <c r="C3" s="7">
        <f>$B3 * IFERROR(VLOOKUP("buildings|NOx|Infant mortality", US_national_yearly!$D:$AM, 11, FALSE) / VLOOKUP("buildings|NOx|Infant mortality", US_national_yearly!$D:$AM, 10, FALSE), 1)</f>
        <v>5.0294698938713468E-6</v>
      </c>
      <c r="D3" s="7">
        <f>$B3 * IFERROR(VLOOKUP("buildings|NOx|Infant mortality", US_national_yearly!$D:$AM, 12, FALSE) / VLOOKUP("buildings|NOx|Infant mortality", US_national_yearly!$D:$AM, 10, FALSE), 1)</f>
        <v>4.981237683255562E-6</v>
      </c>
      <c r="E3" s="7">
        <f>$B3 * IFERROR(VLOOKUP("buildings|NOx|Infant mortality", US_national_yearly!$D:$AM, 13, FALSE) / VLOOKUP("buildings|NOx|Infant mortality", US_national_yearly!$D:$AM, 10, FALSE), 1)</f>
        <v>4.9330054726397788E-6</v>
      </c>
      <c r="F3" s="7">
        <f>$B3 * IFERROR(VLOOKUP("buildings|NOx|Infant mortality", US_national_yearly!$D:$AM, 14, FALSE) / VLOOKUP("buildings|NOx|Infant mortality", US_national_yearly!$D:$AM, 10, FALSE), 1)</f>
        <v>4.8847732620239939E-6</v>
      </c>
      <c r="G3" s="7">
        <f>$B3 * IFERROR(VLOOKUP("buildings|NOx|Infant mortality", US_national_yearly!$D:$AM, 15, FALSE) / VLOOKUP("buildings|NOx|Infant mortality", US_national_yearly!$D:$AM, 10, FALSE), 1)</f>
        <v>3.2422069345448493E-6</v>
      </c>
      <c r="H3" s="7">
        <f>$B3 * IFERROR(VLOOKUP("buildings|NOx|Infant mortality", US_national_yearly!$D:$AM, 16, FALSE) / VLOOKUP("buildings|NOx|Infant mortality", US_national_yearly!$D:$AM, 10, FALSE), 1)</f>
        <v>1.5996406070657045E-6</v>
      </c>
      <c r="I3" s="7">
        <f>$B3 * IFERROR(VLOOKUP("buildings|NOx|Infant mortality", US_national_yearly!$D:$AM, 17, FALSE) / VLOOKUP("buildings|NOx|Infant mortality", US_national_yearly!$D:$AM, 10, FALSE), 1)</f>
        <v>1.5883398526156515E-6</v>
      </c>
      <c r="J3" s="7">
        <f>$B3 * IFERROR(VLOOKUP("buildings|NOx|Infant mortality", US_national_yearly!$D:$AM, 18, FALSE) / VLOOKUP("buildings|NOx|Infant mortality", US_national_yearly!$D:$AM, 10, FALSE), 1)</f>
        <v>1.5770390981655984E-6</v>
      </c>
      <c r="K3" s="7">
        <f>$B3 * IFERROR(VLOOKUP("buildings|NOx|Infant mortality", US_national_yearly!$D:$AM, 19, FALSE) / VLOOKUP("buildings|NOx|Infant mortality", US_national_yearly!$D:$AM, 10, FALSE), 1)</f>
        <v>1.5657383437155457E-6</v>
      </c>
      <c r="L3" s="7">
        <f>$B3 * IFERROR(VLOOKUP("buildings|NOx|Infant mortality", US_national_yearly!$D:$AM, 20, FALSE) / VLOOKUP("buildings|NOx|Infant mortality", US_national_yearly!$D:$AM, 10, FALSE), 1)</f>
        <v>1.5544375892654927E-6</v>
      </c>
      <c r="M3" s="7">
        <f>$B3 * IFERROR(VLOOKUP("buildings|NOx|Infant mortality", US_national_yearly!$D:$AM, 21, FALSE) / VLOOKUP("buildings|NOx|Infant mortality", US_national_yearly!$D:$AM, 10, FALSE), 1)</f>
        <v>1.5431368348154396E-6</v>
      </c>
      <c r="N3" s="7">
        <f>$B3 * IFERROR(VLOOKUP("buildings|NOx|Infant mortality", US_national_yearly!$D:$AM, 22, FALSE) / VLOOKUP("buildings|NOx|Infant mortality", US_national_yearly!$D:$AM, 10, FALSE), 1)</f>
        <v>1.5356484575698047E-6</v>
      </c>
      <c r="O3" s="7">
        <f>$B3 * IFERROR(VLOOKUP("buildings|NOx|Infant mortality", US_national_yearly!$D:$AM, 23, FALSE) / VLOOKUP("buildings|NOx|Infant mortality", US_national_yearly!$D:$AM, 10, FALSE), 1)</f>
        <v>1.5281600803241697E-6</v>
      </c>
      <c r="P3" s="7">
        <f>$B3 * IFERROR(VLOOKUP("buildings|NOx|Infant mortality", US_national_yearly!$D:$AM, 24, FALSE) / VLOOKUP("buildings|NOx|Infant mortality", US_national_yearly!$D:$AM, 10, FALSE), 1)</f>
        <v>1.5206717030785346E-6</v>
      </c>
      <c r="Q3" s="7">
        <f>$B3 * IFERROR(VLOOKUP("buildings|NOx|Infant mortality", US_national_yearly!$D:$AM, 25, FALSE) / VLOOKUP("buildings|NOx|Infant mortality", US_national_yearly!$D:$AM, 10, FALSE), 1)</f>
        <v>1.5131833258328999E-6</v>
      </c>
      <c r="R3" s="7">
        <f>$B3 * IFERROR(VLOOKUP("buildings|NOx|Infant mortality", US_national_yearly!$D:$AM, 26, FALSE) / VLOOKUP("buildings|NOx|Infant mortality", US_national_yearly!$D:$AM, 10, FALSE), 1)</f>
        <v>1.505694948587265E-6</v>
      </c>
      <c r="S3" s="7">
        <f>$B3 * IFERROR(VLOOKUP("buildings|NOx|Infant mortality", US_national_yearly!$D:$AM, 27, FALSE) / VLOOKUP("buildings|NOx|Infant mortality", US_national_yearly!$D:$AM, 10, FALSE), 1)</f>
        <v>1.4966869090271661E-6</v>
      </c>
      <c r="T3" s="7">
        <f>$B3 * IFERROR(VLOOKUP("buildings|NOx|Infant mortality", US_national_yearly!$D:$AM, 28, FALSE) / VLOOKUP("buildings|NOx|Infant mortality", US_national_yearly!$D:$AM, 10, FALSE), 1)</f>
        <v>1.4876788694670674E-6</v>
      </c>
      <c r="U3" s="7">
        <f>$B3 * IFERROR(VLOOKUP("buildings|NOx|Infant mortality", US_national_yearly!$D:$AM, 29, FALSE) / VLOOKUP("buildings|NOx|Infant mortality", US_national_yearly!$D:$AM, 10, FALSE), 1)</f>
        <v>1.4786708299069685E-6</v>
      </c>
      <c r="V3" s="7">
        <f>$B3 * IFERROR(VLOOKUP("buildings|NOx|Infant mortality", US_national_yearly!$D:$AM, 30, FALSE) / VLOOKUP("buildings|NOx|Infant mortality", US_national_yearly!$D:$AM, 10, FALSE), 1)</f>
        <v>1.4696627903468695E-6</v>
      </c>
      <c r="W3" s="7">
        <f>$B3 * IFERROR(VLOOKUP("buildings|NOx|Infant mortality", US_national_yearly!$D:$AM, 31, FALSE) / VLOOKUP("buildings|NOx|Infant mortality", US_national_yearly!$D:$AM, 10, FALSE), 1)</f>
        <v>1.4606547507867708E-6</v>
      </c>
      <c r="X3" s="7">
        <f>$B3 * IFERROR(VLOOKUP("buildings|NOx|Infant mortality", US_national_yearly!$D:$AM, 32, FALSE) / VLOOKUP("buildings|NOx|Infant mortality", US_national_yearly!$D:$AM, 10, FALSE), 1)</f>
        <v>1.4511234554304025E-6</v>
      </c>
      <c r="Y3" s="7">
        <f>$B3 * IFERROR(VLOOKUP("buildings|NOx|Infant mortality", US_national_yearly!$D:$AM, 33, FALSE) / VLOOKUP("buildings|NOx|Infant mortality", US_national_yearly!$D:$AM, 10, FALSE), 1)</f>
        <v>1.4415921600740343E-6</v>
      </c>
      <c r="Z3" s="7">
        <f>$B3 * IFERROR(VLOOKUP("buildings|NOx|Infant mortality", US_national_yearly!$D:$AM, 34, FALSE) / VLOOKUP("buildings|NOx|Infant mortality", US_national_yearly!$D:$AM, 10, FALSE), 1)</f>
        <v>1.432060864717666E-6</v>
      </c>
      <c r="AA3" s="7">
        <f>$B3 * IFERROR(VLOOKUP("buildings|NOx|Infant mortality", US_national_yearly!$D:$AM, 35, FALSE) / VLOOKUP("buildings|NOx|Infant mortality", US_national_yearly!$D:$AM, 10, FALSE), 1)</f>
        <v>1.4225295693612976E-6</v>
      </c>
      <c r="AB3" s="7">
        <f>$B3 * IFERROR(VLOOKUP("buildings|NOx|Infant mortality", US_national_yearly!$D:$AM, 36, FALSE) / VLOOKUP("buildings|NOx|Infant mortality", US_national_yearly!$D:$AM, 10, FALSE), 1)</f>
        <v>1.4129982740049295E-6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4.1855473166576406E-3</v>
      </c>
      <c r="C6" s="7">
        <f>$B6 * IFERROR(VLOOKUP("buildings|NOx|Asthma symptoms cough", US_national_yearly!$D:$AM, 11, FALSE) / VLOOKUP("buildings|NOx|Asthma symptoms cough", US_national_yearly!$D:$AM, 10, FALSE), 1)</f>
        <v>4.2428276717518002E-3</v>
      </c>
      <c r="D6" s="7">
        <f>$B6 * IFERROR(VLOOKUP("buildings|NOx|Asthma symptoms cough", US_national_yearly!$D:$AM, 12, FALSE) / VLOOKUP("buildings|NOx|Asthma symptoms cough", US_national_yearly!$D:$AM, 10, FALSE), 1)</f>
        <v>4.3001080268459608E-3</v>
      </c>
      <c r="E6" s="7">
        <f>$B6 * IFERROR(VLOOKUP("buildings|NOx|Asthma symptoms cough", US_national_yearly!$D:$AM, 13, FALSE) / VLOOKUP("buildings|NOx|Asthma symptoms cough", US_national_yearly!$D:$AM, 10, FALSE), 1)</f>
        <v>4.3573883819401213E-3</v>
      </c>
      <c r="F6" s="7">
        <f>$B6 * IFERROR(VLOOKUP("buildings|NOx|Asthma symptoms cough", US_national_yearly!$D:$AM, 14, FALSE) / VLOOKUP("buildings|NOx|Asthma symptoms cough", US_national_yearly!$D:$AM, 10, FALSE), 1)</f>
        <v>4.4146687370342809E-3</v>
      </c>
      <c r="G6" s="7">
        <f>$B6 * IFERROR(VLOOKUP("buildings|NOx|Asthma symptoms cough", US_national_yearly!$D:$AM, 15, FALSE) / VLOOKUP("buildings|NOx|Asthma symptoms cough", US_national_yearly!$D:$AM, 10, FALSE), 1)</f>
        <v>4.4604464739253823E-3</v>
      </c>
      <c r="H6" s="7">
        <f>$B6 * IFERROR(VLOOKUP("buildings|NOx|Asthma symptoms cough", US_national_yearly!$D:$AM, 16, FALSE) / VLOOKUP("buildings|NOx|Asthma symptoms cough", US_national_yearly!$D:$AM, 10, FALSE), 1)</f>
        <v>4.5062242108164846E-3</v>
      </c>
      <c r="I6" s="7">
        <f>$B6 * IFERROR(VLOOKUP("buildings|NOx|Asthma symptoms cough", US_national_yearly!$D:$AM, 17, FALSE) / VLOOKUP("buildings|NOx|Asthma symptoms cough", US_national_yearly!$D:$AM, 10, FALSE), 1)</f>
        <v>4.5220665335156075E-3</v>
      </c>
      <c r="J6" s="7">
        <f>$B6 * IFERROR(VLOOKUP("buildings|NOx|Asthma symptoms cough", US_national_yearly!$D:$AM, 18, FALSE) / VLOOKUP("buildings|NOx|Asthma symptoms cough", US_national_yearly!$D:$AM, 10, FALSE), 1)</f>
        <v>4.5379088562147313E-3</v>
      </c>
      <c r="K6" s="7">
        <f>$B6 * IFERROR(VLOOKUP("buildings|NOx|Asthma symptoms cough", US_national_yearly!$D:$AM, 19, FALSE) / VLOOKUP("buildings|NOx|Asthma symptoms cough", US_national_yearly!$D:$AM, 10, FALSE), 1)</f>
        <v>4.5537511789138542E-3</v>
      </c>
      <c r="L6" s="7">
        <f>$B6 * IFERROR(VLOOKUP("buildings|NOx|Asthma symptoms cough", US_national_yearly!$D:$AM, 20, FALSE) / VLOOKUP("buildings|NOx|Asthma symptoms cough", US_national_yearly!$D:$AM, 10, FALSE), 1)</f>
        <v>4.569593501612978E-3</v>
      </c>
      <c r="M6" s="7">
        <f>$B6 * IFERROR(VLOOKUP("buildings|NOx|Asthma symptoms cough", US_national_yearly!$D:$AM, 21, FALSE) / VLOOKUP("buildings|NOx|Asthma symptoms cough", US_national_yearly!$D:$AM, 10, FALSE), 1)</f>
        <v>4.5854358243121E-3</v>
      </c>
      <c r="N6" s="7">
        <f>$B6 * IFERROR(VLOOKUP("buildings|NOx|Asthma symptoms cough", US_national_yearly!$D:$AM, 22, FALSE) / VLOOKUP("buildings|NOx|Asthma symptoms cough", US_national_yearly!$D:$AM, 10, FALSE), 1)</f>
        <v>4.6037544970455513E-3</v>
      </c>
      <c r="O6" s="7">
        <f>$B6 * IFERROR(VLOOKUP("buildings|NOx|Asthma symptoms cough", US_national_yearly!$D:$AM, 23, FALSE) / VLOOKUP("buildings|NOx|Asthma symptoms cough", US_national_yearly!$D:$AM, 10, FALSE), 1)</f>
        <v>4.6220731697790016E-3</v>
      </c>
      <c r="P6" s="7">
        <f>$B6 * IFERROR(VLOOKUP("buildings|NOx|Asthma symptoms cough", US_national_yearly!$D:$AM, 24, FALSE) / VLOOKUP("buildings|NOx|Asthma symptoms cough", US_national_yearly!$D:$AM, 10, FALSE), 1)</f>
        <v>4.6403918425124511E-3</v>
      </c>
      <c r="Q6" s="7">
        <f>$B6 * IFERROR(VLOOKUP("buildings|NOx|Asthma symptoms cough", US_national_yearly!$D:$AM, 25, FALSE) / VLOOKUP("buildings|NOx|Asthma symptoms cough", US_national_yearly!$D:$AM, 10, FALSE), 1)</f>
        <v>4.6587105152459023E-3</v>
      </c>
      <c r="R6" s="7">
        <f>$B6 * IFERROR(VLOOKUP("buildings|NOx|Asthma symptoms cough", US_national_yearly!$D:$AM, 26, FALSE) / VLOOKUP("buildings|NOx|Asthma symptoms cough", US_national_yearly!$D:$AM, 10, FALSE), 1)</f>
        <v>4.6770291879793527E-3</v>
      </c>
      <c r="S6" s="7">
        <f>$B6 * IFERROR(VLOOKUP("buildings|NOx|Asthma symptoms cough", US_national_yearly!$D:$AM, 27, FALSE) / VLOOKUP("buildings|NOx|Asthma symptoms cough", US_national_yearly!$D:$AM, 10, FALSE), 1)</f>
        <v>4.700953762792049E-3</v>
      </c>
      <c r="T6" s="7">
        <f>$B6 * IFERROR(VLOOKUP("buildings|NOx|Asthma symptoms cough", US_national_yearly!$D:$AM, 28, FALSE) / VLOOKUP("buildings|NOx|Asthma symptoms cough", US_national_yearly!$D:$AM, 10, FALSE), 1)</f>
        <v>4.7248783376047454E-3</v>
      </c>
      <c r="U6" s="7">
        <f>$B6 * IFERROR(VLOOKUP("buildings|NOx|Asthma symptoms cough", US_national_yearly!$D:$AM, 29, FALSE) / VLOOKUP("buildings|NOx|Asthma symptoms cough", US_national_yearly!$D:$AM, 10, FALSE), 1)</f>
        <v>4.748802912417441E-3</v>
      </c>
      <c r="V6" s="7">
        <f>$B6 * IFERROR(VLOOKUP("buildings|NOx|Asthma symptoms cough", US_national_yearly!$D:$AM, 30, FALSE) / VLOOKUP("buildings|NOx|Asthma symptoms cough", US_national_yearly!$D:$AM, 10, FALSE), 1)</f>
        <v>4.7727274872301391E-3</v>
      </c>
      <c r="W6" s="7">
        <f>$B6 * IFERROR(VLOOKUP("buildings|NOx|Asthma symptoms cough", US_national_yearly!$D:$AM, 31, FALSE) / VLOOKUP("buildings|NOx|Asthma symptoms cough", US_national_yearly!$D:$AM, 10, FALSE), 1)</f>
        <v>4.7966520620428346E-3</v>
      </c>
      <c r="X6" s="7">
        <f>$B6 * IFERROR(VLOOKUP("buildings|NOx|Asthma symptoms cough", US_national_yearly!$D:$AM, 32, FALSE) / VLOOKUP("buildings|NOx|Asthma symptoms cough", US_national_yearly!$D:$AM, 10, FALSE), 1)</f>
        <v>4.8188812841290646E-3</v>
      </c>
      <c r="Y6" s="7">
        <f>$B6 * IFERROR(VLOOKUP("buildings|NOx|Asthma symptoms cough", US_national_yearly!$D:$AM, 33, FALSE) / VLOOKUP("buildings|NOx|Asthma symptoms cough", US_national_yearly!$D:$AM, 10, FALSE), 1)</f>
        <v>4.8411105062152954E-3</v>
      </c>
      <c r="Z6" s="7">
        <f>$B6 * IFERROR(VLOOKUP("buildings|NOx|Asthma symptoms cough", US_national_yearly!$D:$AM, 34, FALSE) / VLOOKUP("buildings|NOx|Asthma symptoms cough", US_national_yearly!$D:$AM, 10, FALSE), 1)</f>
        <v>4.8633397283015262E-3</v>
      </c>
      <c r="AA6" s="7">
        <f>$B6 * IFERROR(VLOOKUP("buildings|NOx|Asthma symptoms cough", US_national_yearly!$D:$AM, 35, FALSE) / VLOOKUP("buildings|NOx|Asthma symptoms cough", US_national_yearly!$D:$AM, 10, FALSE), 1)</f>
        <v>4.8855689503877571E-3</v>
      </c>
      <c r="AB6" s="7">
        <f>$B6 * IFERROR(VLOOKUP("buildings|NOx|Asthma symptoms cough", US_national_yearly!$D:$AM, 36, FALSE) / VLOOKUP("buildings|NOx|Asthma symptoms cough", US_national_yearly!$D:$AM, 10, FALSE), 1)</f>
        <v>4.907798172473987E-3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5.6363858966631325E-3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5.7135213727535885E-3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5.7906568488440445E-3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5.8677923249345005E-3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5.9449278010249565E-3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6.0065734999160099E-3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6.0682191988070634E-3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6.0895529542860155E-3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6.1108867097649658E-3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6.1322204652439188E-3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6.1535542207228709E-3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6.1748879762018229E-3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6.1995564603371661E-3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6.2242249444725102E-3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6.2488934286078542E-3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6.2735619127431974E-3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6.2982303968785415E-3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6.3304479601154042E-3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6.362665523352266E-3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6.3948830865891287E-3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6.4271006498259897E-3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6.4593182130628516E-3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6.4892527625137926E-3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6.5191873119647319E-3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6.5491218614156721E-3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6.5790564108666105E-3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6.6089909603175515E-3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8.6116596370273742E-3</v>
      </c>
      <c r="C8" s="7">
        <f>$B8 * IFERROR(VLOOKUP("buildings|NOx|Asthma symptoms wheeze", US_national_yearly!$D:$AM, 11, FALSE) / VLOOKUP("buildings|NOx|Asthma symptoms wheeze", US_national_yearly!$D:$AM, 10, FALSE), 1)</f>
        <v>8.729512544863512E-3</v>
      </c>
      <c r="D8" s="7">
        <f>$B8 * IFERROR(VLOOKUP("buildings|NOx|Asthma symptoms wheeze", US_national_yearly!$D:$AM, 12, FALSE) / VLOOKUP("buildings|NOx|Asthma symptoms wheeze", US_national_yearly!$D:$AM, 10, FALSE), 1)</f>
        <v>8.8473654526996497E-3</v>
      </c>
      <c r="E8" s="7">
        <f>$B8 * IFERROR(VLOOKUP("buildings|NOx|Asthma symptoms wheeze", US_national_yearly!$D:$AM, 13, FALSE) / VLOOKUP("buildings|NOx|Asthma symptoms wheeze", US_national_yearly!$D:$AM, 10, FALSE), 1)</f>
        <v>8.9652183605357875E-3</v>
      </c>
      <c r="F8" s="7">
        <f>$B8 * IFERROR(VLOOKUP("buildings|NOx|Asthma symptoms wheeze", US_national_yearly!$D:$AM, 14, FALSE) / VLOOKUP("buildings|NOx|Asthma symptoms wheeze", US_national_yearly!$D:$AM, 10, FALSE), 1)</f>
        <v>9.083071268371927E-3</v>
      </c>
      <c r="G8" s="7">
        <f>$B8 * IFERROR(VLOOKUP("buildings|NOx|Asthma symptoms wheeze", US_national_yearly!$D:$AM, 15, FALSE) / VLOOKUP("buildings|NOx|Asthma symptoms wheeze", US_national_yearly!$D:$AM, 10, FALSE), 1)</f>
        <v>9.1772578249673178E-3</v>
      </c>
      <c r="H8" s="7">
        <f>$B8 * IFERROR(VLOOKUP("buildings|NOx|Asthma symptoms wheeze", US_national_yearly!$D:$AM, 16, FALSE) / VLOOKUP("buildings|NOx|Asthma symptoms wheeze", US_national_yearly!$D:$AM, 10, FALSE), 1)</f>
        <v>9.271444381562707E-3</v>
      </c>
      <c r="I8" s="7">
        <f>$B8 * IFERROR(VLOOKUP("buildings|NOx|Asthma symptoms wheeze", US_national_yearly!$D:$AM, 17, FALSE) / VLOOKUP("buildings|NOx|Asthma symptoms wheeze", US_national_yearly!$D:$AM, 10, FALSE), 1)</f>
        <v>9.3040395670189718E-3</v>
      </c>
      <c r="J8" s="7">
        <f>$B8 * IFERROR(VLOOKUP("buildings|NOx|Asthma symptoms wheeze", US_national_yearly!$D:$AM, 18, FALSE) / VLOOKUP("buildings|NOx|Asthma symptoms wheeze", US_national_yearly!$D:$AM, 10, FALSE), 1)</f>
        <v>9.3366347524752331E-3</v>
      </c>
      <c r="K8" s="7">
        <f>$B8 * IFERROR(VLOOKUP("buildings|NOx|Asthma symptoms wheeze", US_national_yearly!$D:$AM, 19, FALSE) / VLOOKUP("buildings|NOx|Asthma symptoms wheeze", US_national_yearly!$D:$AM, 10, FALSE), 1)</f>
        <v>9.3692299379314944E-3</v>
      </c>
      <c r="L8" s="7">
        <f>$B8 * IFERROR(VLOOKUP("buildings|NOx|Asthma symptoms wheeze", US_national_yearly!$D:$AM, 20, FALSE) / VLOOKUP("buildings|NOx|Asthma symptoms wheeze", US_national_yearly!$D:$AM, 10, FALSE), 1)</f>
        <v>9.4018251233877574E-3</v>
      </c>
      <c r="M8" s="7">
        <f>$B8 * IFERROR(VLOOKUP("buildings|NOx|Asthma symptoms wheeze", US_national_yearly!$D:$AM, 21, FALSE) / VLOOKUP("buildings|NOx|Asthma symptoms wheeze", US_national_yearly!$D:$AM, 10, FALSE), 1)</f>
        <v>9.4344203088440205E-3</v>
      </c>
      <c r="N8" s="7">
        <f>$B8 * IFERROR(VLOOKUP("buildings|NOx|Asthma symptoms wheeze", US_national_yearly!$D:$AM, 22, FALSE) / VLOOKUP("buildings|NOx|Asthma symptoms wheeze", US_national_yearly!$D:$AM, 10, FALSE), 1)</f>
        <v>9.4721105229888525E-3</v>
      </c>
      <c r="O8" s="7">
        <f>$B8 * IFERROR(VLOOKUP("buildings|NOx|Asthma symptoms wheeze", US_national_yearly!$D:$AM, 23, FALSE) / VLOOKUP("buildings|NOx|Asthma symptoms wheeze", US_national_yearly!$D:$AM, 10, FALSE), 1)</f>
        <v>9.5098007371336862E-3</v>
      </c>
      <c r="P8" s="7">
        <f>$B8 * IFERROR(VLOOKUP("buildings|NOx|Asthma symptoms wheeze", US_national_yearly!$D:$AM, 24, FALSE) / VLOOKUP("buildings|NOx|Asthma symptoms wheeze", US_national_yearly!$D:$AM, 10, FALSE), 1)</f>
        <v>9.5474909512785165E-3</v>
      </c>
      <c r="Q8" s="7">
        <f>$B8 * IFERROR(VLOOKUP("buildings|NOx|Asthma symptoms wheeze", US_national_yearly!$D:$AM, 25, FALSE) / VLOOKUP("buildings|NOx|Asthma symptoms wheeze", US_national_yearly!$D:$AM, 10, FALSE), 1)</f>
        <v>9.5851811654233503E-3</v>
      </c>
      <c r="R8" s="7">
        <f>$B8 * IFERROR(VLOOKUP("buildings|NOx|Asthma symptoms wheeze", US_national_yearly!$D:$AM, 26, FALSE) / VLOOKUP("buildings|NOx|Asthma symptoms wheeze", US_national_yearly!$D:$AM, 10, FALSE), 1)</f>
        <v>9.6228713795681823E-3</v>
      </c>
      <c r="S8" s="7">
        <f>$B8 * IFERROR(VLOOKUP("buildings|NOx|Asthma symptoms wheeze", US_national_yearly!$D:$AM, 27, FALSE) / VLOOKUP("buildings|NOx|Asthma symptoms wheeze", US_national_yearly!$D:$AM, 10, FALSE), 1)</f>
        <v>9.6720955980117464E-3</v>
      </c>
      <c r="T8" s="7">
        <f>$B8 * IFERROR(VLOOKUP("buildings|NOx|Asthma symptoms wheeze", US_national_yearly!$D:$AM, 28, FALSE) / VLOOKUP("buildings|NOx|Asthma symptoms wheeze", US_national_yearly!$D:$AM, 10, FALSE), 1)</f>
        <v>9.7213198164553087E-3</v>
      </c>
      <c r="U8" s="7">
        <f>$B8 * IFERROR(VLOOKUP("buildings|NOx|Asthma symptoms wheeze", US_national_yearly!$D:$AM, 29, FALSE) / VLOOKUP("buildings|NOx|Asthma symptoms wheeze", US_national_yearly!$D:$AM, 10, FALSE), 1)</f>
        <v>9.7705440348988728E-3</v>
      </c>
      <c r="V8" s="7">
        <f>$B8 * IFERROR(VLOOKUP("buildings|NOx|Asthma symptoms wheeze", US_national_yearly!$D:$AM, 30, FALSE) / VLOOKUP("buildings|NOx|Asthma symptoms wheeze", US_national_yearly!$D:$AM, 10, FALSE), 1)</f>
        <v>9.8197682533424351E-3</v>
      </c>
      <c r="W8" s="7">
        <f>$B8 * IFERROR(VLOOKUP("buildings|NOx|Asthma symptoms wheeze", US_national_yearly!$D:$AM, 31, FALSE) / VLOOKUP("buildings|NOx|Asthma symptoms wheeze", US_national_yearly!$D:$AM, 10, FALSE), 1)</f>
        <v>9.8689924717859992E-3</v>
      </c>
      <c r="X8" s="7">
        <f>$B8 * IFERROR(VLOOKUP("buildings|NOx|Asthma symptoms wheeze", US_national_yearly!$D:$AM, 32, FALSE) / VLOOKUP("buildings|NOx|Asthma symptoms wheeze", US_national_yearly!$D:$AM, 10, FALSE), 1)</f>
        <v>9.9147285441060252E-3</v>
      </c>
      <c r="Y8" s="7">
        <f>$B8 * IFERROR(VLOOKUP("buildings|NOx|Asthma symptoms wheeze", US_national_yearly!$D:$AM, 33, FALSE) / VLOOKUP("buildings|NOx|Asthma symptoms wheeze", US_national_yearly!$D:$AM, 10, FALSE), 1)</f>
        <v>9.9604646164260513E-3</v>
      </c>
      <c r="Z8" s="7">
        <f>$B8 * IFERROR(VLOOKUP("buildings|NOx|Asthma symptoms wheeze", US_national_yearly!$D:$AM, 34, FALSE) / VLOOKUP("buildings|NOx|Asthma symptoms wheeze", US_national_yearly!$D:$AM, 10, FALSE), 1)</f>
        <v>1.0006200688746079E-2</v>
      </c>
      <c r="AA8" s="7">
        <f>$B8 * IFERROR(VLOOKUP("buildings|NOx|Asthma symptoms wheeze", US_national_yearly!$D:$AM, 35, FALSE) / VLOOKUP("buildings|NOx|Asthma symptoms wheeze", US_national_yearly!$D:$AM, 10, FALSE), 1)</f>
        <v>1.0051936761066105E-2</v>
      </c>
      <c r="AB8" s="7">
        <f>$B8 * IFERROR(VLOOKUP("buildings|NOx|Asthma symptoms wheeze", US_national_yearly!$D:$AM, 36, FALSE) / VLOOKUP("buildings|NOx|Asthma symptoms wheeze", US_national_yearly!$D:$AM, 10, FALSE), 1)</f>
        <v>1.0097672833386135E-2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1.3606513006838303E-4</v>
      </c>
      <c r="C12" s="7">
        <f>$B12 * IFERROR(VLOOKUP("buildings|NOx|Respiratory hospital admissions", US_national_yearly!$D:$AM, 11, FALSE) / VLOOKUP("buildings|NOx|Respiratory hospital admissions", US_national_yearly!$D:$AM, 10, FALSE), 1)</f>
        <v>1.3946462896742098E-4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1.4286412786645891E-4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1.4626362676549686E-4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1.4966312566453482E-4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1.5291315005802866E-4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1.5616317445152247E-4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1.5892399360235807E-4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1.6168481275319368E-4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1.6444563190402931E-4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1.6720645105486491E-4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1.6996727020570051E-4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1.7181286261743508E-4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1.7365845502916965E-4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1.7550404744090422E-4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1.7734963985263882E-4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1.7919523226437334E-4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1.8018478302424764E-4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1.8117433378412193E-4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1.8216388454399623E-4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1.831534353038705E-4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1.8414298606374478E-4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1.8482038025041469E-4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1.8549777443708455E-4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1.8617516862375446E-4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1.8685256281042434E-4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1.8752995699709423E-4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7.9558323434340448E-4</v>
      </c>
      <c r="C13" s="7">
        <f>$B13 * IFERROR(VLOOKUP("buildings|NOx|Non-fatal heart attacks", US_national_yearly!$D:$AM, 11, FALSE) / VLOOKUP("buildings|NOx|Non-fatal heart attacks", US_national_yearly!$D:$AM, 10, FALSE), 1)</f>
        <v>8.1834324859272162E-4</v>
      </c>
      <c r="D13" s="7">
        <f>$B13 * IFERROR(VLOOKUP("buildings|NOx|Non-fatal heart attacks", US_national_yearly!$D:$AM, 12, FALSE) / VLOOKUP("buildings|NOx|Non-fatal heart attacks", US_national_yearly!$D:$AM, 10, FALSE), 1)</f>
        <v>8.411032628420392E-4</v>
      </c>
      <c r="E13" s="7">
        <f>$B13 * IFERROR(VLOOKUP("buildings|NOx|Non-fatal heart attacks", US_national_yearly!$D:$AM, 13, FALSE) / VLOOKUP("buildings|NOx|Non-fatal heart attacks", US_national_yearly!$D:$AM, 10, FALSE), 1)</f>
        <v>8.6386327709135635E-4</v>
      </c>
      <c r="F13" s="7">
        <f>$B13 * IFERROR(VLOOKUP("buildings|NOx|Non-fatal heart attacks", US_national_yearly!$D:$AM, 14, FALSE) / VLOOKUP("buildings|NOx|Non-fatal heart attacks", US_national_yearly!$D:$AM, 10, FALSE), 1)</f>
        <v>8.8662329134067349E-4</v>
      </c>
      <c r="G13" s="7">
        <f>$B13 * IFERROR(VLOOKUP("buildings|NOx|Non-fatal heart attacks", US_national_yearly!$D:$AM, 15, FALSE) / VLOOKUP("buildings|NOx|Non-fatal heart attacks", US_national_yearly!$D:$AM, 10, FALSE), 1)</f>
        <v>9.0789700010757948E-4</v>
      </c>
      <c r="H13" s="7">
        <f>$B13 * IFERROR(VLOOKUP("buildings|NOx|Non-fatal heart attacks", US_national_yearly!$D:$AM, 16, FALSE) / VLOOKUP("buildings|NOx|Non-fatal heart attacks", US_national_yearly!$D:$AM, 10, FALSE), 1)</f>
        <v>9.2917070887448558E-4</v>
      </c>
      <c r="I13" s="7">
        <f>$B13 * IFERROR(VLOOKUP("buildings|NOx|Non-fatal heart attacks", US_national_yearly!$D:$AM, 17, FALSE) / VLOOKUP("buildings|NOx|Non-fatal heart attacks", US_national_yearly!$D:$AM, 10, FALSE), 1)</f>
        <v>9.4595413584060498E-4</v>
      </c>
      <c r="J13" s="7">
        <f>$B13 * IFERROR(VLOOKUP("buildings|NOx|Non-fatal heart attacks", US_national_yearly!$D:$AM, 18, FALSE) / VLOOKUP("buildings|NOx|Non-fatal heart attacks", US_national_yearly!$D:$AM, 10, FALSE), 1)</f>
        <v>9.6273756280672448E-4</v>
      </c>
      <c r="K13" s="7">
        <f>$B13 * IFERROR(VLOOKUP("buildings|NOx|Non-fatal heart attacks", US_national_yearly!$D:$AM, 19, FALSE) / VLOOKUP("buildings|NOx|Non-fatal heart attacks", US_national_yearly!$D:$AM, 10, FALSE), 1)</f>
        <v>9.795209897728442E-4</v>
      </c>
      <c r="L13" s="7">
        <f>$B13 * IFERROR(VLOOKUP("buildings|NOx|Non-fatal heart attacks", US_national_yearly!$D:$AM, 20, FALSE) / VLOOKUP("buildings|NOx|Non-fatal heart attacks", US_national_yearly!$D:$AM, 10, FALSE), 1)</f>
        <v>9.9630441673896316E-4</v>
      </c>
      <c r="M13" s="7">
        <f>$B13 * IFERROR(VLOOKUP("buildings|NOx|Non-fatal heart attacks", US_national_yearly!$D:$AM, 21, FALSE) / VLOOKUP("buildings|NOx|Non-fatal heart attacks", US_national_yearly!$D:$AM, 10, FALSE), 1)</f>
        <v>1.013087843705083E-3</v>
      </c>
      <c r="N13" s="7">
        <f>$B13 * IFERROR(VLOOKUP("buildings|NOx|Non-fatal heart attacks", US_national_yearly!$D:$AM, 22, FALSE) / VLOOKUP("buildings|NOx|Non-fatal heart attacks", US_national_yearly!$D:$AM, 10, FALSE), 1)</f>
        <v>1.0231886188265882E-3</v>
      </c>
      <c r="O13" s="7">
        <f>$B13 * IFERROR(VLOOKUP("buildings|NOx|Non-fatal heart attacks", US_national_yearly!$D:$AM, 23, FALSE) / VLOOKUP("buildings|NOx|Non-fatal heart attacks", US_national_yearly!$D:$AM, 10, FALSE), 1)</f>
        <v>1.0332893939480935E-3</v>
      </c>
      <c r="P13" s="7">
        <f>$B13 * IFERROR(VLOOKUP("buildings|NOx|Non-fatal heart attacks", US_national_yearly!$D:$AM, 24, FALSE) / VLOOKUP("buildings|NOx|Non-fatal heart attacks", US_national_yearly!$D:$AM, 10, FALSE), 1)</f>
        <v>1.043390169069599E-3</v>
      </c>
      <c r="Q13" s="7">
        <f>$B13 * IFERROR(VLOOKUP("buildings|NOx|Non-fatal heart attacks", US_national_yearly!$D:$AM, 25, FALSE) / VLOOKUP("buildings|NOx|Non-fatal heart attacks", US_national_yearly!$D:$AM, 10, FALSE), 1)</f>
        <v>1.0534909441911042E-3</v>
      </c>
      <c r="R13" s="7">
        <f>$B13 * IFERROR(VLOOKUP("buildings|NOx|Non-fatal heart attacks", US_national_yearly!$D:$AM, 26, FALSE) / VLOOKUP("buildings|NOx|Non-fatal heart attacks", US_national_yearly!$D:$AM, 10, FALSE), 1)</f>
        <v>1.0635917193126095E-3</v>
      </c>
      <c r="S13" s="7">
        <f>$B13 * IFERROR(VLOOKUP("buildings|NOx|Non-fatal heart attacks", US_national_yearly!$D:$AM, 27, FALSE) / VLOOKUP("buildings|NOx|Non-fatal heart attacks", US_national_yearly!$D:$AM, 10, FALSE), 1)</f>
        <v>1.0681819077827885E-3</v>
      </c>
      <c r="T13" s="7">
        <f>$B13 * IFERROR(VLOOKUP("buildings|NOx|Non-fatal heart attacks", US_national_yearly!$D:$AM, 28, FALSE) / VLOOKUP("buildings|NOx|Non-fatal heart attacks", US_national_yearly!$D:$AM, 10, FALSE), 1)</f>
        <v>1.0727720962529679E-3</v>
      </c>
      <c r="U13" s="7">
        <f>$B13 * IFERROR(VLOOKUP("buildings|NOx|Non-fatal heart attacks", US_national_yearly!$D:$AM, 29, FALSE) / VLOOKUP("buildings|NOx|Non-fatal heart attacks", US_national_yearly!$D:$AM, 10, FALSE), 1)</f>
        <v>1.0773622847231469E-3</v>
      </c>
      <c r="V13" s="7">
        <f>$B13 * IFERROR(VLOOKUP("buildings|NOx|Non-fatal heart attacks", US_national_yearly!$D:$AM, 30, FALSE) / VLOOKUP("buildings|NOx|Non-fatal heart attacks", US_national_yearly!$D:$AM, 10, FALSE), 1)</f>
        <v>1.0819524731933258E-3</v>
      </c>
      <c r="W13" s="7">
        <f>$B13 * IFERROR(VLOOKUP("buildings|NOx|Non-fatal heart attacks", US_national_yearly!$D:$AM, 31, FALSE) / VLOOKUP("buildings|NOx|Non-fatal heart attacks", US_national_yearly!$D:$AM, 10, FALSE), 1)</f>
        <v>1.086542661663505E-3</v>
      </c>
      <c r="X13" s="7">
        <f>$B13 * IFERROR(VLOOKUP("buildings|NOx|Non-fatal heart attacks", US_national_yearly!$D:$AM, 32, FALSE) / VLOOKUP("buildings|NOx|Non-fatal heart attacks", US_national_yearly!$D:$AM, 10, FALSE), 1)</f>
        <v>1.0896131239641284E-3</v>
      </c>
      <c r="Y13" s="7">
        <f>$B13 * IFERROR(VLOOKUP("buildings|NOx|Non-fatal heart attacks", US_national_yearly!$D:$AM, 33, FALSE) / VLOOKUP("buildings|NOx|Non-fatal heart attacks", US_national_yearly!$D:$AM, 10, FALSE), 1)</f>
        <v>1.0926835862647515E-3</v>
      </c>
      <c r="Z13" s="7">
        <f>$B13 * IFERROR(VLOOKUP("buildings|NOx|Non-fatal heart attacks", US_national_yearly!$D:$AM, 34, FALSE) / VLOOKUP("buildings|NOx|Non-fatal heart attacks", US_national_yearly!$D:$AM, 10, FALSE), 1)</f>
        <v>1.095754048565375E-3</v>
      </c>
      <c r="AA13" s="7">
        <f>$B13 * IFERROR(VLOOKUP("buildings|NOx|Non-fatal heart attacks", US_national_yearly!$D:$AM, 35, FALSE) / VLOOKUP("buildings|NOx|Non-fatal heart attacks", US_national_yearly!$D:$AM, 10, FALSE), 1)</f>
        <v>1.0988245108659984E-3</v>
      </c>
      <c r="AB13" s="7">
        <f>$B13 * IFERROR(VLOOKUP("buildings|NOx|Non-fatal heart attacks", US_national_yearly!$D:$AM, 36, FALSE) / VLOOKUP("buildings|NOx|Non-fatal heart attacks", US_national_yearly!$D:$AM, 10, FALSE), 1)</f>
        <v>1.1018949731666215E-3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0.51442352789765367</v>
      </c>
      <c r="C14" s="7">
        <f>$B14 * IFERROR(VLOOKUP("buildings|NOx|Minor restricted activity days", US_national_yearly!$D:$AM, 11, FALSE) / VLOOKUP("buildings|NOx|Minor restricted activity days", US_national_yearly!$D:$AM, 10, FALSE), 1)</f>
        <v>0.51522179155543468</v>
      </c>
      <c r="D14" s="7">
        <f>$B14 * IFERROR(VLOOKUP("buildings|NOx|Minor restricted activity days", US_national_yearly!$D:$AM, 12, FALSE) / VLOOKUP("buildings|NOx|Minor restricted activity days", US_national_yearly!$D:$AM, 10, FALSE), 1)</f>
        <v>0.5160200552132157</v>
      </c>
      <c r="E14" s="7">
        <f>$B14 * IFERROR(VLOOKUP("buildings|NOx|Minor restricted activity days", US_national_yearly!$D:$AM, 13, FALSE) / VLOOKUP("buildings|NOx|Minor restricted activity days", US_national_yearly!$D:$AM, 10, FALSE), 1)</f>
        <v>0.51681831887099672</v>
      </c>
      <c r="F14" s="7">
        <f>$B14 * IFERROR(VLOOKUP("buildings|NOx|Minor restricted activity days", US_national_yearly!$D:$AM, 14, FALSE) / VLOOKUP("buildings|NOx|Minor restricted activity days", US_national_yearly!$D:$AM, 10, FALSE), 1)</f>
        <v>0.51761658252877774</v>
      </c>
      <c r="G14" s="7">
        <f>$B14 * IFERROR(VLOOKUP("buildings|NOx|Minor restricted activity days", US_national_yearly!$D:$AM, 15, FALSE) / VLOOKUP("buildings|NOx|Minor restricted activity days", US_national_yearly!$D:$AM, 10, FALSE), 1)</f>
        <v>0.51905066457522242</v>
      </c>
      <c r="H14" s="7">
        <f>$B14 * IFERROR(VLOOKUP("buildings|NOx|Minor restricted activity days", US_national_yearly!$D:$AM, 16, FALSE) / VLOOKUP("buildings|NOx|Minor restricted activity days", US_national_yearly!$D:$AM, 10, FALSE), 1)</f>
        <v>0.5204847466216671</v>
      </c>
      <c r="I14" s="7">
        <f>$B14 * IFERROR(VLOOKUP("buildings|NOx|Minor restricted activity days", US_national_yearly!$D:$AM, 17, FALSE) / VLOOKUP("buildings|NOx|Minor restricted activity days", US_national_yearly!$D:$AM, 10, FALSE), 1)</f>
        <v>0.52328079746656109</v>
      </c>
      <c r="J14" s="7">
        <f>$B14 * IFERROR(VLOOKUP("buildings|NOx|Minor restricted activity days", US_national_yearly!$D:$AM, 18, FALSE) / VLOOKUP("buildings|NOx|Minor restricted activity days", US_national_yearly!$D:$AM, 10, FALSE), 1)</f>
        <v>0.52607684831145507</v>
      </c>
      <c r="K14" s="7">
        <f>$B14 * IFERROR(VLOOKUP("buildings|NOx|Minor restricted activity days", US_national_yearly!$D:$AM, 19, FALSE) / VLOOKUP("buildings|NOx|Minor restricted activity days", US_national_yearly!$D:$AM, 10, FALSE), 1)</f>
        <v>0.52887289915634905</v>
      </c>
      <c r="L14" s="7">
        <f>$B14 * IFERROR(VLOOKUP("buildings|NOx|Minor restricted activity days", US_national_yearly!$D:$AM, 20, FALSE) / VLOOKUP("buildings|NOx|Minor restricted activity days", US_national_yearly!$D:$AM, 10, FALSE), 1)</f>
        <v>0.53166895000124303</v>
      </c>
      <c r="M14" s="7">
        <f>$B14 * IFERROR(VLOOKUP("buildings|NOx|Minor restricted activity days", US_national_yearly!$D:$AM, 21, FALSE) / VLOOKUP("buildings|NOx|Minor restricted activity days", US_national_yearly!$D:$AM, 10, FALSE), 1)</f>
        <v>0.53446500084613691</v>
      </c>
      <c r="N14" s="7">
        <f>$B14 * IFERROR(VLOOKUP("buildings|NOx|Minor restricted activity days", US_national_yearly!$D:$AM, 22, FALSE) / VLOOKUP("buildings|NOx|Minor restricted activity days", US_national_yearly!$D:$AM, 10, FALSE), 1)</f>
        <v>0.5384650543502747</v>
      </c>
      <c r="O14" s="7">
        <f>$B14 * IFERROR(VLOOKUP("buildings|NOx|Minor restricted activity days", US_national_yearly!$D:$AM, 23, FALSE) / VLOOKUP("buildings|NOx|Minor restricted activity days", US_national_yearly!$D:$AM, 10, FALSE), 1)</f>
        <v>0.54246510785441227</v>
      </c>
      <c r="P14" s="7">
        <f>$B14 * IFERROR(VLOOKUP("buildings|NOx|Minor restricted activity days", US_national_yearly!$D:$AM, 24, FALSE) / VLOOKUP("buildings|NOx|Minor restricted activity days", US_national_yearly!$D:$AM, 10, FALSE), 1)</f>
        <v>0.54646516135855006</v>
      </c>
      <c r="Q14" s="7">
        <f>$B14 * IFERROR(VLOOKUP("buildings|NOx|Minor restricted activity days", US_national_yearly!$D:$AM, 25, FALSE) / VLOOKUP("buildings|NOx|Minor restricted activity days", US_national_yearly!$D:$AM, 10, FALSE), 1)</f>
        <v>0.55046521486268762</v>
      </c>
      <c r="R14" s="7">
        <f>$B14 * IFERROR(VLOOKUP("buildings|NOx|Minor restricted activity days", US_national_yearly!$D:$AM, 26, FALSE) / VLOOKUP("buildings|NOx|Minor restricted activity days", US_national_yearly!$D:$AM, 10, FALSE), 1)</f>
        <v>0.5544652683668253</v>
      </c>
      <c r="S14" s="7">
        <f>$B14 * IFERROR(VLOOKUP("buildings|NOx|Minor restricted activity days", US_national_yearly!$D:$AM, 27, FALSE) / VLOOKUP("buildings|NOx|Minor restricted activity days", US_national_yearly!$D:$AM, 10, FALSE), 1)</f>
        <v>0.55846417036416585</v>
      </c>
      <c r="T14" s="7">
        <f>$B14 * IFERROR(VLOOKUP("buildings|NOx|Minor restricted activity days", US_national_yearly!$D:$AM, 28, FALSE) / VLOOKUP("buildings|NOx|Minor restricted activity days", US_national_yearly!$D:$AM, 10, FALSE), 1)</f>
        <v>0.5624630723615065</v>
      </c>
      <c r="U14" s="7">
        <f>$B14 * IFERROR(VLOOKUP("buildings|NOx|Minor restricted activity days", US_national_yearly!$D:$AM, 29, FALSE) / VLOOKUP("buildings|NOx|Minor restricted activity days", US_national_yearly!$D:$AM, 10, FALSE), 1)</f>
        <v>0.56646197435884715</v>
      </c>
      <c r="V14" s="7">
        <f>$B14 * IFERROR(VLOOKUP("buildings|NOx|Minor restricted activity days", US_national_yearly!$D:$AM, 30, FALSE) / VLOOKUP("buildings|NOx|Minor restricted activity days", US_national_yearly!$D:$AM, 10, FALSE), 1)</f>
        <v>0.57046087635618781</v>
      </c>
      <c r="W14" s="7">
        <f>$B14 * IFERROR(VLOOKUP("buildings|NOx|Minor restricted activity days", US_national_yearly!$D:$AM, 31, FALSE) / VLOOKUP("buildings|NOx|Minor restricted activity days", US_national_yearly!$D:$AM, 10, FALSE), 1)</f>
        <v>0.57445977835352835</v>
      </c>
      <c r="X14" s="7">
        <f>$B14 * IFERROR(VLOOKUP("buildings|NOx|Minor restricted activity days", US_national_yearly!$D:$AM, 32, FALSE) / VLOOKUP("buildings|NOx|Minor restricted activity days", US_national_yearly!$D:$AM, 10, FALSE), 1)</f>
        <v>0.57784181403511414</v>
      </c>
      <c r="Y14" s="7">
        <f>$B14 * IFERROR(VLOOKUP("buildings|NOx|Minor restricted activity days", US_national_yearly!$D:$AM, 33, FALSE) / VLOOKUP("buildings|NOx|Minor restricted activity days", US_national_yearly!$D:$AM, 10, FALSE), 1)</f>
        <v>0.58122384971669994</v>
      </c>
      <c r="Z14" s="7">
        <f>$B14 * IFERROR(VLOOKUP("buildings|NOx|Minor restricted activity days", US_national_yearly!$D:$AM, 34, FALSE) / VLOOKUP("buildings|NOx|Minor restricted activity days", US_national_yearly!$D:$AM, 10, FALSE), 1)</f>
        <v>0.58460588539828562</v>
      </c>
      <c r="AA14" s="7">
        <f>$B14 * IFERROR(VLOOKUP("buildings|NOx|Minor restricted activity days", US_national_yearly!$D:$AM, 35, FALSE) / VLOOKUP("buildings|NOx|Minor restricted activity days", US_national_yearly!$D:$AM, 10, FALSE), 1)</f>
        <v>0.58798792107987152</v>
      </c>
      <c r="AB14" s="7">
        <f>$B14 * IFERROR(VLOOKUP("buildings|NOx|Minor restricted activity days", US_national_yearly!$D:$AM, 36, FALSE) / VLOOKUP("buildings|NOx|Minor restricted activity days", US_national_yearly!$D:$AM, 10, FALSE), 1)</f>
        <v>0.59136995676145721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8.6982946805156447E-2</v>
      </c>
      <c r="C15" s="7">
        <f>$B15 * IFERROR(VLOOKUP("buildings|NOx|Work loss days", US_national_yearly!$D:$AM, 11, FALSE) / VLOOKUP("buildings|NOx|Work loss days", US_national_yearly!$D:$AM, 10, FALSE), 1)</f>
        <v>8.7177939526756051E-2</v>
      </c>
      <c r="D15" s="7">
        <f>$B15 * IFERROR(VLOOKUP("buildings|NOx|Work loss days", US_national_yearly!$D:$AM, 12, FALSE) / VLOOKUP("buildings|NOx|Work loss days", US_national_yearly!$D:$AM, 10, FALSE), 1)</f>
        <v>8.7372932248355642E-2</v>
      </c>
      <c r="E15" s="7">
        <f>$B15 * IFERROR(VLOOKUP("buildings|NOx|Work loss days", US_national_yearly!$D:$AM, 13, FALSE) / VLOOKUP("buildings|NOx|Work loss days", US_national_yearly!$D:$AM, 10, FALSE), 1)</f>
        <v>8.7567924969955233E-2</v>
      </c>
      <c r="F15" s="7">
        <f>$B15 * IFERROR(VLOOKUP("buildings|NOx|Work loss days", US_national_yearly!$D:$AM, 14, FALSE) / VLOOKUP("buildings|NOx|Work loss days", US_national_yearly!$D:$AM, 10, FALSE), 1)</f>
        <v>8.7762917691554851E-2</v>
      </c>
      <c r="G15" s="7">
        <f>$B15 * IFERROR(VLOOKUP("buildings|NOx|Work loss days", US_national_yearly!$D:$AM, 15, FALSE) / VLOOKUP("buildings|NOx|Work loss days", US_national_yearly!$D:$AM, 10, FALSE), 1)</f>
        <v>8.80469464521908E-2</v>
      </c>
      <c r="H15" s="7">
        <f>$B15 * IFERROR(VLOOKUP("buildings|NOx|Work loss days", US_national_yearly!$D:$AM, 16, FALSE) / VLOOKUP("buildings|NOx|Work loss days", US_national_yearly!$D:$AM, 10, FALSE), 1)</f>
        <v>8.8330975212826734E-2</v>
      </c>
      <c r="I15" s="7">
        <f>$B15 * IFERROR(VLOOKUP("buildings|NOx|Work loss days", US_national_yearly!$D:$AM, 17, FALSE) / VLOOKUP("buildings|NOx|Work loss days", US_national_yearly!$D:$AM, 10, FALSE), 1)</f>
        <v>8.8790335330153972E-2</v>
      </c>
      <c r="J15" s="7">
        <f>$B15 * IFERROR(VLOOKUP("buildings|NOx|Work loss days", US_national_yearly!$D:$AM, 18, FALSE) / VLOOKUP("buildings|NOx|Work loss days", US_national_yearly!$D:$AM, 10, FALSE), 1)</f>
        <v>8.9249695447481181E-2</v>
      </c>
      <c r="K15" s="7">
        <f>$B15 * IFERROR(VLOOKUP("buildings|NOx|Work loss days", US_national_yearly!$D:$AM, 19, FALSE) / VLOOKUP("buildings|NOx|Work loss days", US_national_yearly!$D:$AM, 10, FALSE), 1)</f>
        <v>8.9709055564808418E-2</v>
      </c>
      <c r="L15" s="7">
        <f>$B15 * IFERROR(VLOOKUP("buildings|NOx|Work loss days", US_national_yearly!$D:$AM, 20, FALSE) / VLOOKUP("buildings|NOx|Work loss days", US_national_yearly!$D:$AM, 10, FALSE), 1)</f>
        <v>9.0168415682135641E-2</v>
      </c>
      <c r="M15" s="7">
        <f>$B15 * IFERROR(VLOOKUP("buildings|NOx|Work loss days", US_national_yearly!$D:$AM, 21, FALSE) / VLOOKUP("buildings|NOx|Work loss days", US_national_yearly!$D:$AM, 10, FALSE), 1)</f>
        <v>9.0627775799462865E-2</v>
      </c>
      <c r="N15" s="7">
        <f>$B15 * IFERROR(VLOOKUP("buildings|NOx|Work loss days", US_national_yearly!$D:$AM, 22, FALSE) / VLOOKUP("buildings|NOx|Work loss days", US_national_yearly!$D:$AM, 10, FALSE), 1)</f>
        <v>9.1225404069812666E-2</v>
      </c>
      <c r="O15" s="7">
        <f>$B15 * IFERROR(VLOOKUP("buildings|NOx|Work loss days", US_national_yearly!$D:$AM, 23, FALSE) / VLOOKUP("buildings|NOx|Work loss days", US_national_yearly!$D:$AM, 10, FALSE), 1)</f>
        <v>9.182303234016248E-2</v>
      </c>
      <c r="P15" s="7">
        <f>$B15 * IFERROR(VLOOKUP("buildings|NOx|Work loss days", US_national_yearly!$D:$AM, 24, FALSE) / VLOOKUP("buildings|NOx|Work loss days", US_national_yearly!$D:$AM, 10, FALSE), 1)</f>
        <v>9.2420660610512295E-2</v>
      </c>
      <c r="Q15" s="7">
        <f>$B15 * IFERROR(VLOOKUP("buildings|NOx|Work loss days", US_national_yearly!$D:$AM, 25, FALSE) / VLOOKUP("buildings|NOx|Work loss days", US_national_yearly!$D:$AM, 10, FALSE), 1)</f>
        <v>9.3018288880862124E-2</v>
      </c>
      <c r="R15" s="7">
        <f>$B15 * IFERROR(VLOOKUP("buildings|NOx|Work loss days", US_national_yearly!$D:$AM, 26, FALSE) / VLOOKUP("buildings|NOx|Work loss days", US_national_yearly!$D:$AM, 10, FALSE), 1)</f>
        <v>9.3615917151211939E-2</v>
      </c>
      <c r="S15" s="7">
        <f>$B15 * IFERROR(VLOOKUP("buildings|NOx|Work loss days", US_national_yearly!$D:$AM, 27, FALSE) / VLOOKUP("buildings|NOx|Work loss days", US_national_yearly!$D:$AM, 10, FALSE), 1)</f>
        <v>9.4281869124954495E-2</v>
      </c>
      <c r="T15" s="7">
        <f>$B15 * IFERROR(VLOOKUP("buildings|NOx|Work loss days", US_national_yearly!$D:$AM, 28, FALSE) / VLOOKUP("buildings|NOx|Work loss days", US_national_yearly!$D:$AM, 10, FALSE), 1)</f>
        <v>9.4947821098697066E-2</v>
      </c>
      <c r="U15" s="7">
        <f>$B15 * IFERROR(VLOOKUP("buildings|NOx|Work loss days", US_national_yearly!$D:$AM, 29, FALSE) / VLOOKUP("buildings|NOx|Work loss days", US_national_yearly!$D:$AM, 10, FALSE), 1)</f>
        <v>9.5613773072439609E-2</v>
      </c>
      <c r="V15" s="7">
        <f>$B15 * IFERROR(VLOOKUP("buildings|NOx|Work loss days", US_national_yearly!$D:$AM, 30, FALSE) / VLOOKUP("buildings|NOx|Work loss days", US_national_yearly!$D:$AM, 10, FALSE), 1)</f>
        <v>9.6279725046182166E-2</v>
      </c>
      <c r="W15" s="7">
        <f>$B15 * IFERROR(VLOOKUP("buildings|NOx|Work loss days", US_national_yearly!$D:$AM, 31, FALSE) / VLOOKUP("buildings|NOx|Work loss days", US_national_yearly!$D:$AM, 10, FALSE), 1)</f>
        <v>9.6945677019924723E-2</v>
      </c>
      <c r="X15" s="7">
        <f>$B15 * IFERROR(VLOOKUP("buildings|NOx|Work loss days", US_national_yearly!$D:$AM, 32, FALSE) / VLOOKUP("buildings|NOx|Work loss days", US_national_yearly!$D:$AM, 10, FALSE), 1)</f>
        <v>9.7523862475292544E-2</v>
      </c>
      <c r="Y15" s="7">
        <f>$B15 * IFERROR(VLOOKUP("buildings|NOx|Work loss days", US_national_yearly!$D:$AM, 33, FALSE) / VLOOKUP("buildings|NOx|Work loss days", US_national_yearly!$D:$AM, 10, FALSE), 1)</f>
        <v>9.8102047930660352E-2</v>
      </c>
      <c r="Z15" s="7">
        <f>$B15 * IFERROR(VLOOKUP("buildings|NOx|Work loss days", US_national_yearly!$D:$AM, 34, FALSE) / VLOOKUP("buildings|NOx|Work loss days", US_national_yearly!$D:$AM, 10, FALSE), 1)</f>
        <v>9.8680233386028174E-2</v>
      </c>
      <c r="AA15" s="7">
        <f>$B15 * IFERROR(VLOOKUP("buildings|NOx|Work loss days", US_national_yearly!$D:$AM, 35, FALSE) / VLOOKUP("buildings|NOx|Work loss days", US_national_yearly!$D:$AM, 10, FALSE), 1)</f>
        <v>9.9258418841395996E-2</v>
      </c>
      <c r="AB15" s="7">
        <f>$B15 * IFERROR(VLOOKUP("buildings|NOx|Work loss days", US_national_yearly!$D:$AM, 36, FALSE) / VLOOKUP("buildings|NOx|Work loss days", US_national_yearly!$D:$AM, 10, FALSE), 1)</f>
        <v>9.9836604296763817E-2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2.0021314705809585E-4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2.0609943137238517E-4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2.1198571568667451E-4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2.1787200000096383E-4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2.2375828431525315E-4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2.2935014735644632E-4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2.3494201039763951E-4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2.3964701106116371E-4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2.4435201172468788E-4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2.4905701238821205E-4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2.5376201305173617E-4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2.5846701371526028E-4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2.6141015234958966E-4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2.6435329098391892E-4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2.6729642961824824E-4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2.7023956825257756E-4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2.7318270688690683E-4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2.7452751066992691E-4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2.7587231445294689E-4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2.7721711823596698E-4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2.7856192201898702E-4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2.7990672580200705E-4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2.806563058524052E-4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2.8140588590280341E-4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2.8215546595320156E-4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2.8290504600359971E-4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2.8365462605399786E-4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8.3211839369513371E-3</v>
      </c>
      <c r="C2" s="7">
        <f>$B2 * IFERROR(VLOOKUP("buildings|SO2|Premature mortality", US_national_yearly!$D:$AM, 11, FALSE) / VLOOKUP("buildings|SO2|Premature mortality", US_national_yearly!$D:$AM, 10, FALSE), 1)</f>
        <v>8.4266001220157614E-3</v>
      </c>
      <c r="D2" s="7">
        <f>$B2 * IFERROR(VLOOKUP("buildings|SO2|Premature mortality", US_national_yearly!$D:$AM, 12, FALSE) / VLOOKUP("buildings|SO2|Premature mortality", US_national_yearly!$D:$AM, 10, FALSE), 1)</f>
        <v>8.5320163070801841E-3</v>
      </c>
      <c r="E2" s="7">
        <f>$B2 * IFERROR(VLOOKUP("buildings|SO2|Premature mortality", US_national_yearly!$D:$AM, 13, FALSE) / VLOOKUP("buildings|SO2|Premature mortality", US_national_yearly!$D:$AM, 10, FALSE), 1)</f>
        <v>8.6374324921446085E-3</v>
      </c>
      <c r="F2" s="7">
        <f>$B2 * IFERROR(VLOOKUP("buildings|SO2|Premature mortality", US_national_yearly!$D:$AM, 14, FALSE) / VLOOKUP("buildings|SO2|Premature mortality", US_national_yearly!$D:$AM, 10, FALSE), 1)</f>
        <v>8.7428486772090312E-3</v>
      </c>
      <c r="G2" s="7">
        <f>$B2 * IFERROR(VLOOKUP("buildings|SO2|Premature mortality", US_national_yearly!$D:$AM, 15, FALSE) / VLOOKUP("buildings|SO2|Premature mortality", US_national_yearly!$D:$AM, 10, FALSE), 1)</f>
        <v>8.9459642761303294E-3</v>
      </c>
      <c r="H2" s="7">
        <f>$B2 * IFERROR(VLOOKUP("buildings|SO2|Premature mortality", US_national_yearly!$D:$AM, 16, FALSE) / VLOOKUP("buildings|SO2|Premature mortality", US_national_yearly!$D:$AM, 10, FALSE), 1)</f>
        <v>9.1490798750516276E-3</v>
      </c>
      <c r="I2" s="7">
        <f>$B2 * IFERROR(VLOOKUP("buildings|SO2|Premature mortality", US_national_yearly!$D:$AM, 17, FALSE) / VLOOKUP("buildings|SO2|Premature mortality", US_national_yearly!$D:$AM, 10, FALSE), 1)</f>
        <v>9.2833787423963164E-3</v>
      </c>
      <c r="J2" s="7">
        <f>$B2 * IFERROR(VLOOKUP("buildings|SO2|Premature mortality", US_national_yearly!$D:$AM, 18, FALSE) / VLOOKUP("buildings|SO2|Premature mortality", US_national_yearly!$D:$AM, 10, FALSE), 1)</f>
        <v>9.4176776097410035E-3</v>
      </c>
      <c r="K2" s="7">
        <f>$B2 * IFERROR(VLOOKUP("buildings|SO2|Premature mortality", US_national_yearly!$D:$AM, 19, FALSE) / VLOOKUP("buildings|SO2|Premature mortality", US_national_yearly!$D:$AM, 10, FALSE), 1)</f>
        <v>9.5519764770856923E-3</v>
      </c>
      <c r="L2" s="7">
        <f>$B2 * IFERROR(VLOOKUP("buildings|SO2|Premature mortality", US_national_yearly!$D:$AM, 20, FALSE) / VLOOKUP("buildings|SO2|Premature mortality", US_national_yearly!$D:$AM, 10, FALSE), 1)</f>
        <v>9.6862753444303794E-3</v>
      </c>
      <c r="M2" s="7">
        <f>$B2 * IFERROR(VLOOKUP("buildings|SO2|Premature mortality", US_national_yearly!$D:$AM, 21, FALSE) / VLOOKUP("buildings|SO2|Premature mortality", US_national_yearly!$D:$AM, 10, FALSE), 1)</f>
        <v>9.82057421177507E-3</v>
      </c>
      <c r="N2" s="7">
        <f>$B2 * IFERROR(VLOOKUP("buildings|SO2|Premature mortality", US_national_yearly!$D:$AM, 22, FALSE) / VLOOKUP("buildings|SO2|Premature mortality", US_national_yearly!$D:$AM, 10, FALSE), 1)</f>
        <v>9.9254837695999035E-3</v>
      </c>
      <c r="O2" s="7">
        <f>$B2 * IFERROR(VLOOKUP("buildings|SO2|Premature mortality", US_national_yearly!$D:$AM, 23, FALSE) / VLOOKUP("buildings|SO2|Premature mortality", US_national_yearly!$D:$AM, 10, FALSE), 1)</f>
        <v>1.0030393327424732E-2</v>
      </c>
      <c r="P2" s="7">
        <f>$B2 * IFERROR(VLOOKUP("buildings|SO2|Premature mortality", US_national_yearly!$D:$AM, 24, FALSE) / VLOOKUP("buildings|SO2|Premature mortality", US_national_yearly!$D:$AM, 10, FALSE), 1)</f>
        <v>1.0135302885249565E-2</v>
      </c>
      <c r="Q2" s="7">
        <f>$B2 * IFERROR(VLOOKUP("buildings|SO2|Premature mortality", US_national_yearly!$D:$AM, 25, FALSE) / VLOOKUP("buildings|SO2|Premature mortality", US_national_yearly!$D:$AM, 10, FALSE), 1)</f>
        <v>1.0240212443074395E-2</v>
      </c>
      <c r="R2" s="7">
        <f>$B2 * IFERROR(VLOOKUP("buildings|SO2|Premature mortality", US_national_yearly!$D:$AM, 26, FALSE) / VLOOKUP("buildings|SO2|Premature mortality", US_national_yearly!$D:$AM, 10, FALSE), 1)</f>
        <v>1.0345122000899227E-2</v>
      </c>
      <c r="S2" s="7">
        <f>$B2 * IFERROR(VLOOKUP("buildings|SO2|Premature mortality", US_national_yearly!$D:$AM, 27, FALSE) / VLOOKUP("buildings|SO2|Premature mortality", US_national_yearly!$D:$AM, 10, FALSE), 1)</f>
        <v>1.0401270793762518E-2</v>
      </c>
      <c r="T2" s="7">
        <f>$B2 * IFERROR(VLOOKUP("buildings|SO2|Premature mortality", US_national_yearly!$D:$AM, 28, FALSE) / VLOOKUP("buildings|SO2|Premature mortality", US_national_yearly!$D:$AM, 10, FALSE), 1)</f>
        <v>1.0457419586625813E-2</v>
      </c>
      <c r="U2" s="7">
        <f>$B2 * IFERROR(VLOOKUP("buildings|SO2|Premature mortality", US_national_yearly!$D:$AM, 29, FALSE) / VLOOKUP("buildings|SO2|Premature mortality", US_national_yearly!$D:$AM, 10, FALSE), 1)</f>
        <v>1.0513568379489104E-2</v>
      </c>
      <c r="V2" s="7">
        <f>$B2 * IFERROR(VLOOKUP("buildings|SO2|Premature mortality", US_national_yearly!$D:$AM, 30, FALSE) / VLOOKUP("buildings|SO2|Premature mortality", US_national_yearly!$D:$AM, 10, FALSE), 1)</f>
        <v>1.0569717172352397E-2</v>
      </c>
      <c r="W2" s="7">
        <f>$B2 * IFERROR(VLOOKUP("buildings|SO2|Premature mortality", US_national_yearly!$D:$AM, 31, FALSE) / VLOOKUP("buildings|SO2|Premature mortality", US_national_yearly!$D:$AM, 10, FALSE), 1)</f>
        <v>1.0625865965215689E-2</v>
      </c>
      <c r="X2" s="7">
        <f>$B2 * IFERROR(VLOOKUP("buildings|SO2|Premature mortality", US_national_yearly!$D:$AM, 32, FALSE) / VLOOKUP("buildings|SO2|Premature mortality", US_national_yearly!$D:$AM, 10, FALSE), 1)</f>
        <v>1.0637211668578509E-2</v>
      </c>
      <c r="Y2" s="7">
        <f>$B2 * IFERROR(VLOOKUP("buildings|SO2|Premature mortality", US_national_yearly!$D:$AM, 33, FALSE) / VLOOKUP("buildings|SO2|Premature mortality", US_national_yearly!$D:$AM, 10, FALSE), 1)</f>
        <v>1.064855737194133E-2</v>
      </c>
      <c r="Z2" s="7">
        <f>$B2 * IFERROR(VLOOKUP("buildings|SO2|Premature mortality", US_national_yearly!$D:$AM, 34, FALSE) / VLOOKUP("buildings|SO2|Premature mortality", US_national_yearly!$D:$AM, 10, FALSE), 1)</f>
        <v>1.0659903075304147E-2</v>
      </c>
      <c r="AA2" s="7">
        <f>$B2 * IFERROR(VLOOKUP("buildings|SO2|Premature mortality", US_national_yearly!$D:$AM, 35, FALSE) / VLOOKUP("buildings|SO2|Premature mortality", US_national_yearly!$D:$AM, 10, FALSE), 1)</f>
        <v>1.0671248778666967E-2</v>
      </c>
      <c r="AB2" s="7">
        <f>$B2 * IFERROR(VLOOKUP("buildings|SO2|Premature mortality", US_national_yearly!$D:$AM, 36, FALSE) / VLOOKUP("buildings|SO2|Premature mortality", US_national_yearly!$D:$AM, 10, FALSE), 1)</f>
        <v>1.0682594482029788E-2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1.9703270430802203E-5</v>
      </c>
      <c r="C3" s="7">
        <f>$B3 * IFERROR(VLOOKUP("buildings|SO2|Infant mortality", US_national_yearly!$D:$AM, 11, FALSE) / VLOOKUP("buildings|SO2|Infant mortality", US_national_yearly!$D:$AM, 10, FALSE), 1)</f>
        <v>1.9534385676696623E-5</v>
      </c>
      <c r="D3" s="7">
        <f>$B3 * IFERROR(VLOOKUP("buildings|SO2|Infant mortality", US_national_yearly!$D:$AM, 12, FALSE) / VLOOKUP("buildings|SO2|Infant mortality", US_national_yearly!$D:$AM, 10, FALSE), 1)</f>
        <v>1.936550092259104E-5</v>
      </c>
      <c r="E3" s="7">
        <f>$B3 * IFERROR(VLOOKUP("buildings|SO2|Infant mortality", US_national_yearly!$D:$AM, 13, FALSE) / VLOOKUP("buildings|SO2|Infant mortality", US_national_yearly!$D:$AM, 10, FALSE), 1)</f>
        <v>1.9196616168485464E-5</v>
      </c>
      <c r="F3" s="7">
        <f>$B3 * IFERROR(VLOOKUP("buildings|SO2|Infant mortality", US_national_yearly!$D:$AM, 14, FALSE) / VLOOKUP("buildings|SO2|Infant mortality", US_national_yearly!$D:$AM, 10, FALSE), 1)</f>
        <v>1.9027731414379884E-5</v>
      </c>
      <c r="G3" s="7">
        <f>$B3 * IFERROR(VLOOKUP("buildings|SO2|Infant mortality", US_national_yearly!$D:$AM, 15, FALSE) / VLOOKUP("buildings|SO2|Infant mortality", US_national_yearly!$D:$AM, 10, FALSE), 1)</f>
        <v>1.2671715305224338E-5</v>
      </c>
      <c r="H3" s="7">
        <f>$B3 * IFERROR(VLOOKUP("buildings|SO2|Infant mortality", US_national_yearly!$D:$AM, 16, FALSE) / VLOOKUP("buildings|SO2|Infant mortality", US_national_yearly!$D:$AM, 10, FALSE), 1)</f>
        <v>6.3156991960687956E-6</v>
      </c>
      <c r="I3" s="7">
        <f>$B3 * IFERROR(VLOOKUP("buildings|SO2|Infant mortality", US_national_yearly!$D:$AM, 17, FALSE) / VLOOKUP("buildings|SO2|Infant mortality", US_national_yearly!$D:$AM, 10, FALSE), 1)</f>
        <v>6.2760738018702206E-6</v>
      </c>
      <c r="J3" s="7">
        <f>$B3 * IFERROR(VLOOKUP("buildings|SO2|Infant mortality", US_national_yearly!$D:$AM, 18, FALSE) / VLOOKUP("buildings|SO2|Infant mortality", US_national_yearly!$D:$AM, 10, FALSE), 1)</f>
        <v>6.2364484076716447E-6</v>
      </c>
      <c r="K3" s="7">
        <f>$B3 * IFERROR(VLOOKUP("buildings|SO2|Infant mortality", US_national_yearly!$D:$AM, 19, FALSE) / VLOOKUP("buildings|SO2|Infant mortality", US_national_yearly!$D:$AM, 10, FALSE), 1)</f>
        <v>6.1968230134730697E-6</v>
      </c>
      <c r="L3" s="7">
        <f>$B3 * IFERROR(VLOOKUP("buildings|SO2|Infant mortality", US_national_yearly!$D:$AM, 20, FALSE) / VLOOKUP("buildings|SO2|Infant mortality", US_national_yearly!$D:$AM, 10, FALSE), 1)</f>
        <v>6.1571976192744938E-6</v>
      </c>
      <c r="M3" s="7">
        <f>$B3 * IFERROR(VLOOKUP("buildings|SO2|Infant mortality", US_national_yearly!$D:$AM, 21, FALSE) / VLOOKUP("buildings|SO2|Infant mortality", US_national_yearly!$D:$AM, 10, FALSE), 1)</f>
        <v>6.1175722250759187E-6</v>
      </c>
      <c r="N3" s="7">
        <f>$B3 * IFERROR(VLOOKUP("buildings|SO2|Infant mortality", US_national_yearly!$D:$AM, 22, FALSE) / VLOOKUP("buildings|SO2|Infant mortality", US_national_yearly!$D:$AM, 10, FALSE), 1)</f>
        <v>6.0927313123992314E-6</v>
      </c>
      <c r="O3" s="7">
        <f>$B3 * IFERROR(VLOOKUP("buildings|SO2|Infant mortality", US_national_yearly!$D:$AM, 23, FALSE) / VLOOKUP("buildings|SO2|Infant mortality", US_national_yearly!$D:$AM, 10, FALSE), 1)</f>
        <v>6.0678903997225441E-6</v>
      </c>
      <c r="P3" s="7">
        <f>$B3 * IFERROR(VLOOKUP("buildings|SO2|Infant mortality", US_national_yearly!$D:$AM, 24, FALSE) / VLOOKUP("buildings|SO2|Infant mortality", US_national_yearly!$D:$AM, 10, FALSE), 1)</f>
        <v>6.0430494870458567E-6</v>
      </c>
      <c r="Q3" s="7">
        <f>$B3 * IFERROR(VLOOKUP("buildings|SO2|Infant mortality", US_national_yearly!$D:$AM, 25, FALSE) / VLOOKUP("buildings|SO2|Infant mortality", US_national_yearly!$D:$AM, 10, FALSE), 1)</f>
        <v>6.0182085743691694E-6</v>
      </c>
      <c r="R3" s="7">
        <f>$B3 * IFERROR(VLOOKUP("buildings|SO2|Infant mortality", US_national_yearly!$D:$AM, 26, FALSE) / VLOOKUP("buildings|SO2|Infant mortality", US_national_yearly!$D:$AM, 10, FALSE), 1)</f>
        <v>5.993367661692482E-6</v>
      </c>
      <c r="S3" s="7">
        <f>$B3 * IFERROR(VLOOKUP("buildings|SO2|Infant mortality", US_national_yearly!$D:$AM, 27, FALSE) / VLOOKUP("buildings|SO2|Infant mortality", US_national_yearly!$D:$AM, 10, FALSE), 1)</f>
        <v>5.9621753507098949E-6</v>
      </c>
      <c r="T3" s="7">
        <f>$B3 * IFERROR(VLOOKUP("buildings|SO2|Infant mortality", US_national_yearly!$D:$AM, 28, FALSE) / VLOOKUP("buildings|SO2|Infant mortality", US_national_yearly!$D:$AM, 10, FALSE), 1)</f>
        <v>5.930983039727307E-6</v>
      </c>
      <c r="U3" s="7">
        <f>$B3 * IFERROR(VLOOKUP("buildings|SO2|Infant mortality", US_national_yearly!$D:$AM, 29, FALSE) / VLOOKUP("buildings|SO2|Infant mortality", US_national_yearly!$D:$AM, 10, FALSE), 1)</f>
        <v>5.8997907287447199E-6</v>
      </c>
      <c r="V3" s="7">
        <f>$B3 * IFERROR(VLOOKUP("buildings|SO2|Infant mortality", US_national_yearly!$D:$AM, 30, FALSE) / VLOOKUP("buildings|SO2|Infant mortality", US_national_yearly!$D:$AM, 10, FALSE), 1)</f>
        <v>5.8685984177621328E-6</v>
      </c>
      <c r="W3" s="7">
        <f>$B3 * IFERROR(VLOOKUP("buildings|SO2|Infant mortality", US_national_yearly!$D:$AM, 31, FALSE) / VLOOKUP("buildings|SO2|Infant mortality", US_national_yearly!$D:$AM, 10, FALSE), 1)</f>
        <v>5.8374061067795449E-6</v>
      </c>
      <c r="X3" s="7">
        <f>$B3 * IFERROR(VLOOKUP("buildings|SO2|Infant mortality", US_national_yearly!$D:$AM, 32, FALSE) / VLOOKUP("buildings|SO2|Infant mortality", US_national_yearly!$D:$AM, 10, FALSE), 1)</f>
        <v>5.8033391607156469E-6</v>
      </c>
      <c r="Y3" s="7">
        <f>$B3 * IFERROR(VLOOKUP("buildings|SO2|Infant mortality", US_national_yearly!$D:$AM, 33, FALSE) / VLOOKUP("buildings|SO2|Infant mortality", US_national_yearly!$D:$AM, 10, FALSE), 1)</f>
        <v>5.7692722146517488E-6</v>
      </c>
      <c r="Z3" s="7">
        <f>$B3 * IFERROR(VLOOKUP("buildings|SO2|Infant mortality", US_national_yearly!$D:$AM, 34, FALSE) / VLOOKUP("buildings|SO2|Infant mortality", US_national_yearly!$D:$AM, 10, FALSE), 1)</f>
        <v>5.7352052685878517E-6</v>
      </c>
      <c r="AA3" s="7">
        <f>$B3 * IFERROR(VLOOKUP("buildings|SO2|Infant mortality", US_national_yearly!$D:$AM, 35, FALSE) / VLOOKUP("buildings|SO2|Infant mortality", US_national_yearly!$D:$AM, 10, FALSE), 1)</f>
        <v>5.7011383225239528E-6</v>
      </c>
      <c r="AB3" s="7">
        <f>$B3 * IFERROR(VLOOKUP("buildings|SO2|Infant mortality", US_national_yearly!$D:$AM, 36, FALSE) / VLOOKUP("buildings|SO2|Infant mortality", US_national_yearly!$D:$AM, 10, FALSE), 1)</f>
        <v>5.6670713764600556E-6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1.6289168437139817E-2</v>
      </c>
      <c r="C6" s="7">
        <f>$B6 * IFERROR(VLOOKUP("buildings|SO2|Asthma symptoms cough", US_national_yearly!$D:$AM, 11, FALSE) / VLOOKUP("buildings|SO2|Asthma symptoms cough", US_national_yearly!$D:$AM, 10, FALSE), 1)</f>
        <v>1.6289168437139817E-2</v>
      </c>
      <c r="D6" s="7">
        <f>$B6 * IFERROR(VLOOKUP("buildings|SO2|Asthma symptoms cough", US_national_yearly!$D:$AM, 12, FALSE) / VLOOKUP("buildings|SO2|Asthma symptoms cough", US_national_yearly!$D:$AM, 10, FALSE), 1)</f>
        <v>1.6289168437139817E-2</v>
      </c>
      <c r="E6" s="7">
        <f>$B6 * IFERROR(VLOOKUP("buildings|SO2|Asthma symptoms cough", US_national_yearly!$D:$AM, 13, FALSE) / VLOOKUP("buildings|SO2|Asthma symptoms cough", US_national_yearly!$D:$AM, 10, FALSE), 1)</f>
        <v>1.6289168437139817E-2</v>
      </c>
      <c r="F6" s="7">
        <f>$B6 * IFERROR(VLOOKUP("buildings|SO2|Asthma symptoms cough", US_national_yearly!$D:$AM, 14, FALSE) / VLOOKUP("buildings|SO2|Asthma symptoms cough", US_national_yearly!$D:$AM, 10, FALSE), 1)</f>
        <v>1.6289168437139817E-2</v>
      </c>
      <c r="G6" s="7">
        <f>$B6 * IFERROR(VLOOKUP("buildings|SO2|Asthma symptoms cough", US_national_yearly!$D:$AM, 15, FALSE) / VLOOKUP("buildings|SO2|Asthma symptoms cough", US_national_yearly!$D:$AM, 10, FALSE), 1)</f>
        <v>1.6289168437139817E-2</v>
      </c>
      <c r="H6" s="7">
        <f>$B6 * IFERROR(VLOOKUP("buildings|SO2|Asthma symptoms cough", US_national_yearly!$D:$AM, 16, FALSE) / VLOOKUP("buildings|SO2|Asthma symptoms cough", US_national_yearly!$D:$AM, 10, FALSE), 1)</f>
        <v>1.6289168437139817E-2</v>
      </c>
      <c r="I6" s="7">
        <f>$B6 * IFERROR(VLOOKUP("buildings|SO2|Asthma symptoms cough", US_national_yearly!$D:$AM, 17, FALSE) / VLOOKUP("buildings|SO2|Asthma symptoms cough", US_national_yearly!$D:$AM, 10, FALSE), 1)</f>
        <v>1.6289168437139817E-2</v>
      </c>
      <c r="J6" s="7">
        <f>$B6 * IFERROR(VLOOKUP("buildings|SO2|Asthma symptoms cough", US_national_yearly!$D:$AM, 18, FALSE) / VLOOKUP("buildings|SO2|Asthma symptoms cough", US_national_yearly!$D:$AM, 10, FALSE), 1)</f>
        <v>1.6289168437139817E-2</v>
      </c>
      <c r="K6" s="7">
        <f>$B6 * IFERROR(VLOOKUP("buildings|SO2|Asthma symptoms cough", US_national_yearly!$D:$AM, 19, FALSE) / VLOOKUP("buildings|SO2|Asthma symptoms cough", US_national_yearly!$D:$AM, 10, FALSE), 1)</f>
        <v>1.6289168437139817E-2</v>
      </c>
      <c r="L6" s="7">
        <f>$B6 * IFERROR(VLOOKUP("buildings|SO2|Asthma symptoms cough", US_national_yearly!$D:$AM, 20, FALSE) / VLOOKUP("buildings|SO2|Asthma symptoms cough", US_national_yearly!$D:$AM, 10, FALSE), 1)</f>
        <v>1.6289168437139817E-2</v>
      </c>
      <c r="M6" s="7">
        <f>$B6 * IFERROR(VLOOKUP("buildings|SO2|Asthma symptoms cough", US_national_yearly!$D:$AM, 21, FALSE) / VLOOKUP("buildings|SO2|Asthma symptoms cough", US_national_yearly!$D:$AM, 10, FALSE), 1)</f>
        <v>1.6289168437139817E-2</v>
      </c>
      <c r="N6" s="7">
        <f>$B6 * IFERROR(VLOOKUP("buildings|SO2|Asthma symptoms cough", US_national_yearly!$D:$AM, 22, FALSE) / VLOOKUP("buildings|SO2|Asthma symptoms cough", US_national_yearly!$D:$AM, 10, FALSE), 1)</f>
        <v>1.6289168437139817E-2</v>
      </c>
      <c r="O6" s="7">
        <f>$B6 * IFERROR(VLOOKUP("buildings|SO2|Asthma symptoms cough", US_national_yearly!$D:$AM, 23, FALSE) / VLOOKUP("buildings|SO2|Asthma symptoms cough", US_national_yearly!$D:$AM, 10, FALSE), 1)</f>
        <v>1.6289168437139817E-2</v>
      </c>
      <c r="P6" s="7">
        <f>$B6 * IFERROR(VLOOKUP("buildings|SO2|Asthma symptoms cough", US_national_yearly!$D:$AM, 24, FALSE) / VLOOKUP("buildings|SO2|Asthma symptoms cough", US_national_yearly!$D:$AM, 10, FALSE), 1)</f>
        <v>1.6289168437139817E-2</v>
      </c>
      <c r="Q6" s="7">
        <f>$B6 * IFERROR(VLOOKUP("buildings|SO2|Asthma symptoms cough", US_national_yearly!$D:$AM, 25, FALSE) / VLOOKUP("buildings|SO2|Asthma symptoms cough", US_national_yearly!$D:$AM, 10, FALSE), 1)</f>
        <v>1.6289168437139817E-2</v>
      </c>
      <c r="R6" s="7">
        <f>$B6 * IFERROR(VLOOKUP("buildings|SO2|Asthma symptoms cough", US_national_yearly!$D:$AM, 26, FALSE) / VLOOKUP("buildings|SO2|Asthma symptoms cough", US_national_yearly!$D:$AM, 10, FALSE), 1)</f>
        <v>1.6289168437139817E-2</v>
      </c>
      <c r="S6" s="7">
        <f>$B6 * IFERROR(VLOOKUP("buildings|SO2|Asthma symptoms cough", US_national_yearly!$D:$AM, 27, FALSE) / VLOOKUP("buildings|SO2|Asthma symptoms cough", US_national_yearly!$D:$AM, 10, FALSE), 1)</f>
        <v>1.6289168437139817E-2</v>
      </c>
      <c r="T6" s="7">
        <f>$B6 * IFERROR(VLOOKUP("buildings|SO2|Asthma symptoms cough", US_national_yearly!$D:$AM, 28, FALSE) / VLOOKUP("buildings|SO2|Asthma symptoms cough", US_national_yearly!$D:$AM, 10, FALSE), 1)</f>
        <v>1.6289168437139817E-2</v>
      </c>
      <c r="U6" s="7">
        <f>$B6 * IFERROR(VLOOKUP("buildings|SO2|Asthma symptoms cough", US_national_yearly!$D:$AM, 29, FALSE) / VLOOKUP("buildings|SO2|Asthma symptoms cough", US_national_yearly!$D:$AM, 10, FALSE), 1)</f>
        <v>1.6289168437139817E-2</v>
      </c>
      <c r="V6" s="7">
        <f>$B6 * IFERROR(VLOOKUP("buildings|SO2|Asthma symptoms cough", US_national_yearly!$D:$AM, 30, FALSE) / VLOOKUP("buildings|SO2|Asthma symptoms cough", US_national_yearly!$D:$AM, 10, FALSE), 1)</f>
        <v>1.6289168437139817E-2</v>
      </c>
      <c r="W6" s="7">
        <f>$B6 * IFERROR(VLOOKUP("buildings|SO2|Asthma symptoms cough", US_national_yearly!$D:$AM, 31, FALSE) / VLOOKUP("buildings|SO2|Asthma symptoms cough", US_national_yearly!$D:$AM, 10, FALSE), 1)</f>
        <v>1.6289168437139817E-2</v>
      </c>
      <c r="X6" s="7">
        <f>$B6 * IFERROR(VLOOKUP("buildings|SO2|Asthma symptoms cough", US_national_yearly!$D:$AM, 32, FALSE) / VLOOKUP("buildings|SO2|Asthma symptoms cough", US_national_yearly!$D:$AM, 10, FALSE), 1)</f>
        <v>1.6289168437139817E-2</v>
      </c>
      <c r="Y6" s="7">
        <f>$B6 * IFERROR(VLOOKUP("buildings|SO2|Asthma symptoms cough", US_national_yearly!$D:$AM, 33, FALSE) / VLOOKUP("buildings|SO2|Asthma symptoms cough", US_national_yearly!$D:$AM, 10, FALSE), 1)</f>
        <v>1.6289168437139817E-2</v>
      </c>
      <c r="Z6" s="7">
        <f>$B6 * IFERROR(VLOOKUP("buildings|SO2|Asthma symptoms cough", US_national_yearly!$D:$AM, 34, FALSE) / VLOOKUP("buildings|SO2|Asthma symptoms cough", US_national_yearly!$D:$AM, 10, FALSE), 1)</f>
        <v>1.6289168437139817E-2</v>
      </c>
      <c r="AA6" s="7">
        <f>$B6 * IFERROR(VLOOKUP("buildings|SO2|Asthma symptoms cough", US_national_yearly!$D:$AM, 35, FALSE) / VLOOKUP("buildings|SO2|Asthma symptoms cough", US_national_yearly!$D:$AM, 10, FALSE), 1)</f>
        <v>1.6289168437139817E-2</v>
      </c>
      <c r="AB6" s="7">
        <f>$B6 * IFERROR(VLOOKUP("buildings|SO2|Asthma symptoms cough", US_national_yearly!$D:$AM, 36, FALSE) / VLOOKUP("buildings|SO2|Asthma symptoms cough", US_national_yearly!$D:$AM, 10, FALSE), 1)</f>
        <v>1.6289168437139817E-2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2.1935595944810319E-2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2.1935595944810319E-2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2.1935595944810319E-2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2.1935595944810319E-2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2.1935595944810319E-2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2.1935595944810319E-2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2.1935595944810319E-2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2.1935595944810319E-2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2.1935595944810319E-2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2.1935595944810319E-2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2.1935595944810319E-2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2.1935595944810319E-2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2.1935595944810319E-2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2.1935595944810319E-2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2.1935595944810319E-2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2.1935595944810319E-2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2.1935595944810319E-2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2.1935595944810319E-2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2.1935595944810319E-2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2.1935595944810319E-2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2.1935595944810319E-2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2.1935595944810319E-2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2.1935595944810319E-2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2.1935595944810319E-2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2.1935595944810319E-2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2.1935595944810319E-2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2.1935595944810319E-2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3.3514347361745876E-2</v>
      </c>
      <c r="C8" s="7">
        <f>$B8 * IFERROR(VLOOKUP("buildings|SO2|Asthma symptoms wheeze", US_national_yearly!$D:$AM, 11, FALSE) / VLOOKUP("buildings|SO2|Asthma symptoms wheeze", US_national_yearly!$D:$AM, 10, FALSE), 1)</f>
        <v>3.3514347361745876E-2</v>
      </c>
      <c r="D8" s="7">
        <f>$B8 * IFERROR(VLOOKUP("buildings|SO2|Asthma symptoms wheeze", US_national_yearly!$D:$AM, 12, FALSE) / VLOOKUP("buildings|SO2|Asthma symptoms wheeze", US_national_yearly!$D:$AM, 10, FALSE), 1)</f>
        <v>3.3514347361745876E-2</v>
      </c>
      <c r="E8" s="7">
        <f>$B8 * IFERROR(VLOOKUP("buildings|SO2|Asthma symptoms wheeze", US_national_yearly!$D:$AM, 13, FALSE) / VLOOKUP("buildings|SO2|Asthma symptoms wheeze", US_national_yearly!$D:$AM, 10, FALSE), 1)</f>
        <v>3.3514347361745876E-2</v>
      </c>
      <c r="F8" s="7">
        <f>$B8 * IFERROR(VLOOKUP("buildings|SO2|Asthma symptoms wheeze", US_national_yearly!$D:$AM, 14, FALSE) / VLOOKUP("buildings|SO2|Asthma symptoms wheeze", US_national_yearly!$D:$AM, 10, FALSE), 1)</f>
        <v>3.3514347361745876E-2</v>
      </c>
      <c r="G8" s="7">
        <f>$B8 * IFERROR(VLOOKUP("buildings|SO2|Asthma symptoms wheeze", US_national_yearly!$D:$AM, 15, FALSE) / VLOOKUP("buildings|SO2|Asthma symptoms wheeze", US_national_yearly!$D:$AM, 10, FALSE), 1)</f>
        <v>3.3514347361745876E-2</v>
      </c>
      <c r="H8" s="7">
        <f>$B8 * IFERROR(VLOOKUP("buildings|SO2|Asthma symptoms wheeze", US_national_yearly!$D:$AM, 16, FALSE) / VLOOKUP("buildings|SO2|Asthma symptoms wheeze", US_national_yearly!$D:$AM, 10, FALSE), 1)</f>
        <v>3.3514347361745876E-2</v>
      </c>
      <c r="I8" s="7">
        <f>$B8 * IFERROR(VLOOKUP("buildings|SO2|Asthma symptoms wheeze", US_national_yearly!$D:$AM, 17, FALSE) / VLOOKUP("buildings|SO2|Asthma symptoms wheeze", US_national_yearly!$D:$AM, 10, FALSE), 1)</f>
        <v>3.3514347361745876E-2</v>
      </c>
      <c r="J8" s="7">
        <f>$B8 * IFERROR(VLOOKUP("buildings|SO2|Asthma symptoms wheeze", US_national_yearly!$D:$AM, 18, FALSE) / VLOOKUP("buildings|SO2|Asthma symptoms wheeze", US_national_yearly!$D:$AM, 10, FALSE), 1)</f>
        <v>3.3514347361745876E-2</v>
      </c>
      <c r="K8" s="7">
        <f>$B8 * IFERROR(VLOOKUP("buildings|SO2|Asthma symptoms wheeze", US_national_yearly!$D:$AM, 19, FALSE) / VLOOKUP("buildings|SO2|Asthma symptoms wheeze", US_national_yearly!$D:$AM, 10, FALSE), 1)</f>
        <v>3.3514347361745876E-2</v>
      </c>
      <c r="L8" s="7">
        <f>$B8 * IFERROR(VLOOKUP("buildings|SO2|Asthma symptoms wheeze", US_national_yearly!$D:$AM, 20, FALSE) / VLOOKUP("buildings|SO2|Asthma symptoms wheeze", US_national_yearly!$D:$AM, 10, FALSE), 1)</f>
        <v>3.3514347361745876E-2</v>
      </c>
      <c r="M8" s="7">
        <f>$B8 * IFERROR(VLOOKUP("buildings|SO2|Asthma symptoms wheeze", US_national_yearly!$D:$AM, 21, FALSE) / VLOOKUP("buildings|SO2|Asthma symptoms wheeze", US_national_yearly!$D:$AM, 10, FALSE), 1)</f>
        <v>3.3514347361745876E-2</v>
      </c>
      <c r="N8" s="7">
        <f>$B8 * IFERROR(VLOOKUP("buildings|SO2|Asthma symptoms wheeze", US_national_yearly!$D:$AM, 22, FALSE) / VLOOKUP("buildings|SO2|Asthma symptoms wheeze", US_national_yearly!$D:$AM, 10, FALSE), 1)</f>
        <v>3.3514347361745876E-2</v>
      </c>
      <c r="O8" s="7">
        <f>$B8 * IFERROR(VLOOKUP("buildings|SO2|Asthma symptoms wheeze", US_national_yearly!$D:$AM, 23, FALSE) / VLOOKUP("buildings|SO2|Asthma symptoms wheeze", US_national_yearly!$D:$AM, 10, FALSE), 1)</f>
        <v>3.3514347361745876E-2</v>
      </c>
      <c r="P8" s="7">
        <f>$B8 * IFERROR(VLOOKUP("buildings|SO2|Asthma symptoms wheeze", US_national_yearly!$D:$AM, 24, FALSE) / VLOOKUP("buildings|SO2|Asthma symptoms wheeze", US_national_yearly!$D:$AM, 10, FALSE), 1)</f>
        <v>3.3514347361745876E-2</v>
      </c>
      <c r="Q8" s="7">
        <f>$B8 * IFERROR(VLOOKUP("buildings|SO2|Asthma symptoms wheeze", US_national_yearly!$D:$AM, 25, FALSE) / VLOOKUP("buildings|SO2|Asthma symptoms wheeze", US_national_yearly!$D:$AM, 10, FALSE), 1)</f>
        <v>3.3514347361745876E-2</v>
      </c>
      <c r="R8" s="7">
        <f>$B8 * IFERROR(VLOOKUP("buildings|SO2|Asthma symptoms wheeze", US_national_yearly!$D:$AM, 26, FALSE) / VLOOKUP("buildings|SO2|Asthma symptoms wheeze", US_national_yearly!$D:$AM, 10, FALSE), 1)</f>
        <v>3.3514347361745876E-2</v>
      </c>
      <c r="S8" s="7">
        <f>$B8 * IFERROR(VLOOKUP("buildings|SO2|Asthma symptoms wheeze", US_national_yearly!$D:$AM, 27, FALSE) / VLOOKUP("buildings|SO2|Asthma symptoms wheeze", US_national_yearly!$D:$AM, 10, FALSE), 1)</f>
        <v>3.3514347361745876E-2</v>
      </c>
      <c r="T8" s="7">
        <f>$B8 * IFERROR(VLOOKUP("buildings|SO2|Asthma symptoms wheeze", US_national_yearly!$D:$AM, 28, FALSE) / VLOOKUP("buildings|SO2|Asthma symptoms wheeze", US_national_yearly!$D:$AM, 10, FALSE), 1)</f>
        <v>3.3514347361745876E-2</v>
      </c>
      <c r="U8" s="7">
        <f>$B8 * IFERROR(VLOOKUP("buildings|SO2|Asthma symptoms wheeze", US_national_yearly!$D:$AM, 29, FALSE) / VLOOKUP("buildings|SO2|Asthma symptoms wheeze", US_national_yearly!$D:$AM, 10, FALSE), 1)</f>
        <v>3.3514347361745876E-2</v>
      </c>
      <c r="V8" s="7">
        <f>$B8 * IFERROR(VLOOKUP("buildings|SO2|Asthma symptoms wheeze", US_national_yearly!$D:$AM, 30, FALSE) / VLOOKUP("buildings|SO2|Asthma symptoms wheeze", US_national_yearly!$D:$AM, 10, FALSE), 1)</f>
        <v>3.3514347361745876E-2</v>
      </c>
      <c r="W8" s="7">
        <f>$B8 * IFERROR(VLOOKUP("buildings|SO2|Asthma symptoms wheeze", US_national_yearly!$D:$AM, 31, FALSE) / VLOOKUP("buildings|SO2|Asthma symptoms wheeze", US_national_yearly!$D:$AM, 10, FALSE), 1)</f>
        <v>3.3514347361745876E-2</v>
      </c>
      <c r="X8" s="7">
        <f>$B8 * IFERROR(VLOOKUP("buildings|SO2|Asthma symptoms wheeze", US_national_yearly!$D:$AM, 32, FALSE) / VLOOKUP("buildings|SO2|Asthma symptoms wheeze", US_national_yearly!$D:$AM, 10, FALSE), 1)</f>
        <v>3.3514347361745876E-2</v>
      </c>
      <c r="Y8" s="7">
        <f>$B8 * IFERROR(VLOOKUP("buildings|SO2|Asthma symptoms wheeze", US_national_yearly!$D:$AM, 33, FALSE) / VLOOKUP("buildings|SO2|Asthma symptoms wheeze", US_national_yearly!$D:$AM, 10, FALSE), 1)</f>
        <v>3.3514347361745876E-2</v>
      </c>
      <c r="Z8" s="7">
        <f>$B8 * IFERROR(VLOOKUP("buildings|SO2|Asthma symptoms wheeze", US_national_yearly!$D:$AM, 34, FALSE) / VLOOKUP("buildings|SO2|Asthma symptoms wheeze", US_national_yearly!$D:$AM, 10, FALSE), 1)</f>
        <v>3.3514347361745876E-2</v>
      </c>
      <c r="AA8" s="7">
        <f>$B8 * IFERROR(VLOOKUP("buildings|SO2|Asthma symptoms wheeze", US_national_yearly!$D:$AM, 35, FALSE) / VLOOKUP("buildings|SO2|Asthma symptoms wheeze", US_national_yearly!$D:$AM, 10, FALSE), 1)</f>
        <v>3.3514347361745876E-2</v>
      </c>
      <c r="AB8" s="7">
        <f>$B8 * IFERROR(VLOOKUP("buildings|SO2|Asthma symptoms wheeze", US_national_yearly!$D:$AM, 36, FALSE) / VLOOKUP("buildings|SO2|Asthma symptoms wheeze", US_national_yearly!$D:$AM, 10, FALSE), 1)</f>
        <v>3.3514347361745876E-2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5.9314199930387765E-4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5.9664532313719845E-4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6.0014864697051926E-4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6.0365197080384007E-4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6.0715529463716076E-4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6.1097347624572483E-4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6.147916578542889E-4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6.1854916977970215E-4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6.2230668170511563E-4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6.2606419363052889E-4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6.2982170555594215E-4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6.3357921748135562E-4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6.3632282320825106E-4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6.390664289351465E-4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6.4181003466204194E-4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6.4455364038893737E-4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6.4729724611583281E-4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6.4991330638165909E-4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6.5252936664748538E-4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6.5514542691331166E-4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6.5776148717913783E-4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6.6037754744496411E-4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6.6286348726357126E-4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6.6534942708217863E-4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6.6783536690078566E-4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6.7032130671939281E-4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6.7280724653800018E-4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3.3840550184141586E-3</v>
      </c>
      <c r="C13" s="7">
        <f>$B13 * IFERROR(VLOOKUP("buildings|SO2|Non-fatal heart attacks", US_national_yearly!$D:$AM, 11, FALSE) / VLOOKUP("buildings|SO2|Non-fatal heart attacks", US_national_yearly!$D:$AM, 10, FALSE), 1)</f>
        <v>3.4834307006944951E-3</v>
      </c>
      <c r="D13" s="7">
        <f>$B13 * IFERROR(VLOOKUP("buildings|SO2|Non-fatal heart attacks", US_national_yearly!$D:$AM, 12, FALSE) / VLOOKUP("buildings|SO2|Non-fatal heart attacks", US_national_yearly!$D:$AM, 10, FALSE), 1)</f>
        <v>3.5828063829748307E-3</v>
      </c>
      <c r="E13" s="7">
        <f>$B13 * IFERROR(VLOOKUP("buildings|SO2|Non-fatal heart attacks", US_national_yearly!$D:$AM, 13, FALSE) / VLOOKUP("buildings|SO2|Non-fatal heart attacks", US_national_yearly!$D:$AM, 10, FALSE), 1)</f>
        <v>3.6821820652551667E-3</v>
      </c>
      <c r="F13" s="7">
        <f>$B13 * IFERROR(VLOOKUP("buildings|SO2|Non-fatal heart attacks", US_national_yearly!$D:$AM, 14, FALSE) / VLOOKUP("buildings|SO2|Non-fatal heart attacks", US_national_yearly!$D:$AM, 10, FALSE), 1)</f>
        <v>3.7815577475355032E-3</v>
      </c>
      <c r="G13" s="7">
        <f>$B13 * IFERROR(VLOOKUP("buildings|SO2|Non-fatal heart attacks", US_national_yearly!$D:$AM, 15, FALSE) / VLOOKUP("buildings|SO2|Non-fatal heart attacks", US_national_yearly!$D:$AM, 10, FALSE), 1)</f>
        <v>3.8752850432649281E-3</v>
      </c>
      <c r="H13" s="7">
        <f>$B13 * IFERROR(VLOOKUP("buildings|SO2|Non-fatal heart attacks", US_national_yearly!$D:$AM, 16, FALSE) / VLOOKUP("buildings|SO2|Non-fatal heart attacks", US_national_yearly!$D:$AM, 10, FALSE), 1)</f>
        <v>3.9690123389943535E-3</v>
      </c>
      <c r="I13" s="7">
        <f>$B13 * IFERROR(VLOOKUP("buildings|SO2|Non-fatal heart attacks", US_national_yearly!$D:$AM, 17, FALSE) / VLOOKUP("buildings|SO2|Non-fatal heart attacks", US_national_yearly!$D:$AM, 10, FALSE), 1)</f>
        <v>4.0444565994580614E-3</v>
      </c>
      <c r="J13" s="7">
        <f>$B13 * IFERROR(VLOOKUP("buildings|SO2|Non-fatal heart attacks", US_national_yearly!$D:$AM, 18, FALSE) / VLOOKUP("buildings|SO2|Non-fatal heart attacks", US_national_yearly!$D:$AM, 10, FALSE), 1)</f>
        <v>4.1199008599217693E-3</v>
      </c>
      <c r="K13" s="7">
        <f>$B13 * IFERROR(VLOOKUP("buildings|SO2|Non-fatal heart attacks", US_national_yearly!$D:$AM, 19, FALSE) / VLOOKUP("buildings|SO2|Non-fatal heart attacks", US_national_yearly!$D:$AM, 10, FALSE), 1)</f>
        <v>4.1953451203854773E-3</v>
      </c>
      <c r="L13" s="7">
        <f>$B13 * IFERROR(VLOOKUP("buildings|SO2|Non-fatal heart attacks", US_national_yearly!$D:$AM, 20, FALSE) / VLOOKUP("buildings|SO2|Non-fatal heart attacks", US_national_yearly!$D:$AM, 10, FALSE), 1)</f>
        <v>4.2707893808491869E-3</v>
      </c>
      <c r="M13" s="7">
        <f>$B13 * IFERROR(VLOOKUP("buildings|SO2|Non-fatal heart attacks", US_national_yearly!$D:$AM, 21, FALSE) / VLOOKUP("buildings|SO2|Non-fatal heart attacks", US_national_yearly!$D:$AM, 10, FALSE), 1)</f>
        <v>4.3462336413128948E-3</v>
      </c>
      <c r="N13" s="7">
        <f>$B13 * IFERROR(VLOOKUP("buildings|SO2|Non-fatal heart attacks", US_national_yearly!$D:$AM, 22, FALSE) / VLOOKUP("buildings|SO2|Non-fatal heart attacks", US_national_yearly!$D:$AM, 10, FALSE), 1)</f>
        <v>4.3952004734433411E-3</v>
      </c>
      <c r="O13" s="7">
        <f>$B13 * IFERROR(VLOOKUP("buildings|SO2|Non-fatal heart attacks", US_national_yearly!$D:$AM, 23, FALSE) / VLOOKUP("buildings|SO2|Non-fatal heart attacks", US_national_yearly!$D:$AM, 10, FALSE), 1)</f>
        <v>4.4441673055737874E-3</v>
      </c>
      <c r="P13" s="7">
        <f>$B13 * IFERROR(VLOOKUP("buildings|SO2|Non-fatal heart attacks", US_national_yearly!$D:$AM, 24, FALSE) / VLOOKUP("buildings|SO2|Non-fatal heart attacks", US_national_yearly!$D:$AM, 10, FALSE), 1)</f>
        <v>4.4931341377042336E-3</v>
      </c>
      <c r="Q13" s="7">
        <f>$B13 * IFERROR(VLOOKUP("buildings|SO2|Non-fatal heart attacks", US_national_yearly!$D:$AM, 25, FALSE) / VLOOKUP("buildings|SO2|Non-fatal heart attacks", US_national_yearly!$D:$AM, 10, FALSE), 1)</f>
        <v>4.5421009698346799E-3</v>
      </c>
      <c r="R13" s="7">
        <f>$B13 * IFERROR(VLOOKUP("buildings|SO2|Non-fatal heart attacks", US_national_yearly!$D:$AM, 26, FALSE) / VLOOKUP("buildings|SO2|Non-fatal heart attacks", US_national_yearly!$D:$AM, 10, FALSE), 1)</f>
        <v>4.5910678019651261E-3</v>
      </c>
      <c r="S13" s="7">
        <f>$B13 * IFERROR(VLOOKUP("buildings|SO2|Non-fatal heart attacks", US_national_yearly!$D:$AM, 27, FALSE) / VLOOKUP("buildings|SO2|Non-fatal heart attacks", US_national_yearly!$D:$AM, 10, FALSE), 1)</f>
        <v>4.6166382015264901E-3</v>
      </c>
      <c r="T13" s="7">
        <f>$B13 * IFERROR(VLOOKUP("buildings|SO2|Non-fatal heart attacks", US_national_yearly!$D:$AM, 28, FALSE) / VLOOKUP("buildings|SO2|Non-fatal heart attacks", US_national_yearly!$D:$AM, 10, FALSE), 1)</f>
        <v>4.6422086010878541E-3</v>
      </c>
      <c r="U13" s="7">
        <f>$B13 * IFERROR(VLOOKUP("buildings|SO2|Non-fatal heart attacks", US_national_yearly!$D:$AM, 29, FALSE) / VLOOKUP("buildings|SO2|Non-fatal heart attacks", US_national_yearly!$D:$AM, 10, FALSE), 1)</f>
        <v>4.6677790006492172E-3</v>
      </c>
      <c r="V13" s="7">
        <f>$B13 * IFERROR(VLOOKUP("buildings|SO2|Non-fatal heart attacks", US_national_yearly!$D:$AM, 30, FALSE) / VLOOKUP("buildings|SO2|Non-fatal heart attacks", US_national_yearly!$D:$AM, 10, FALSE), 1)</f>
        <v>4.6933494002105811E-3</v>
      </c>
      <c r="W13" s="7">
        <f>$B13 * IFERROR(VLOOKUP("buildings|SO2|Non-fatal heart attacks", US_national_yearly!$D:$AM, 31, FALSE) / VLOOKUP("buildings|SO2|Non-fatal heart attacks", US_national_yearly!$D:$AM, 10, FALSE), 1)</f>
        <v>4.7189197997719442E-3</v>
      </c>
      <c r="X13" s="7">
        <f>$B13 * IFERROR(VLOOKUP("buildings|SO2|Non-fatal heart attacks", US_national_yearly!$D:$AM, 32, FALSE) / VLOOKUP("buildings|SO2|Non-fatal heart attacks", US_national_yearly!$D:$AM, 10, FALSE), 1)</f>
        <v>4.7382324432704665E-3</v>
      </c>
      <c r="Y13" s="7">
        <f>$B13 * IFERROR(VLOOKUP("buildings|SO2|Non-fatal heart attacks", US_national_yearly!$D:$AM, 33, FALSE) / VLOOKUP("buildings|SO2|Non-fatal heart attacks", US_national_yearly!$D:$AM, 10, FALSE), 1)</f>
        <v>4.757545086768988E-3</v>
      </c>
      <c r="Z13" s="7">
        <f>$B13 * IFERROR(VLOOKUP("buildings|SO2|Non-fatal heart attacks", US_national_yearly!$D:$AM, 34, FALSE) / VLOOKUP("buildings|SO2|Non-fatal heart attacks", US_national_yearly!$D:$AM, 10, FALSE), 1)</f>
        <v>4.7768577302675086E-3</v>
      </c>
      <c r="AA13" s="7">
        <f>$B13 * IFERROR(VLOOKUP("buildings|SO2|Non-fatal heart attacks", US_national_yearly!$D:$AM, 35, FALSE) / VLOOKUP("buildings|SO2|Non-fatal heart attacks", US_national_yearly!$D:$AM, 10, FALSE), 1)</f>
        <v>4.7961703737660309E-3</v>
      </c>
      <c r="AB13" s="7">
        <f>$B13 * IFERROR(VLOOKUP("buildings|SO2|Non-fatal heart attacks", US_national_yearly!$D:$AM, 36, FALSE) / VLOOKUP("buildings|SO2|Non-fatal heart attacks", US_national_yearly!$D:$AM, 10, FALSE), 1)</f>
        <v>4.8154830172645524E-3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2.0480679276026654</v>
      </c>
      <c r="C14" s="7">
        <f>$B14 * IFERROR(VLOOKUP("buildings|SO2|Minor restricted activity days", US_national_yearly!$D:$AM, 11, FALSE) / VLOOKUP("buildings|SO2|Minor restricted activity days", US_national_yearly!$D:$AM, 10, FALSE), 1)</f>
        <v>2.0532525036726899</v>
      </c>
      <c r="D14" s="7">
        <f>$B14 * IFERROR(VLOOKUP("buildings|SO2|Minor restricted activity days", US_national_yearly!$D:$AM, 12, FALSE) / VLOOKUP("buildings|SO2|Minor restricted activity days", US_national_yearly!$D:$AM, 10, FALSE), 1)</f>
        <v>2.0584370797427147</v>
      </c>
      <c r="E14" s="7">
        <f>$B14 * IFERROR(VLOOKUP("buildings|SO2|Minor restricted activity days", US_national_yearly!$D:$AM, 13, FALSE) / VLOOKUP("buildings|SO2|Minor restricted activity days", US_national_yearly!$D:$AM, 10, FALSE), 1)</f>
        <v>2.0636216558127396</v>
      </c>
      <c r="F14" s="7">
        <f>$B14 * IFERROR(VLOOKUP("buildings|SO2|Minor restricted activity days", US_national_yearly!$D:$AM, 14, FALSE) / VLOOKUP("buildings|SO2|Minor restricted activity days", US_national_yearly!$D:$AM, 10, FALSE), 1)</f>
        <v>2.068806231882764</v>
      </c>
      <c r="G14" s="7">
        <f>$B14 * IFERROR(VLOOKUP("buildings|SO2|Minor restricted activity days", US_national_yearly!$D:$AM, 15, FALSE) / VLOOKUP("buildings|SO2|Minor restricted activity days", US_national_yearly!$D:$AM, 10, FALSE), 1)</f>
        <v>2.0764296129584427</v>
      </c>
      <c r="H14" s="7">
        <f>$B14 * IFERROR(VLOOKUP("buildings|SO2|Minor restricted activity days", US_national_yearly!$D:$AM, 16, FALSE) / VLOOKUP("buildings|SO2|Minor restricted activity days", US_national_yearly!$D:$AM, 10, FALSE), 1)</f>
        <v>2.0840529940341215</v>
      </c>
      <c r="I14" s="7">
        <f>$B14 * IFERROR(VLOOKUP("buildings|SO2|Minor restricted activity days", US_national_yearly!$D:$AM, 17, FALSE) / VLOOKUP("buildings|SO2|Minor restricted activity days", US_national_yearly!$D:$AM, 10, FALSE), 1)</f>
        <v>2.0970363791893201</v>
      </c>
      <c r="J14" s="7">
        <f>$B14 * IFERROR(VLOOKUP("buildings|SO2|Minor restricted activity days", US_national_yearly!$D:$AM, 18, FALSE) / VLOOKUP("buildings|SO2|Minor restricted activity days", US_national_yearly!$D:$AM, 10, FALSE), 1)</f>
        <v>2.1100197643445191</v>
      </c>
      <c r="K14" s="7">
        <f>$B14 * IFERROR(VLOOKUP("buildings|SO2|Minor restricted activity days", US_national_yearly!$D:$AM, 19, FALSE) / VLOOKUP("buildings|SO2|Minor restricted activity days", US_national_yearly!$D:$AM, 10, FALSE), 1)</f>
        <v>2.1230031494997177</v>
      </c>
      <c r="L14" s="7">
        <f>$B14 * IFERROR(VLOOKUP("buildings|SO2|Minor restricted activity days", US_national_yearly!$D:$AM, 20, FALSE) / VLOOKUP("buildings|SO2|Minor restricted activity days", US_national_yearly!$D:$AM, 10, FALSE), 1)</f>
        <v>2.1359865346549158</v>
      </c>
      <c r="M14" s="7">
        <f>$B14 * IFERROR(VLOOKUP("buildings|SO2|Minor restricted activity days", US_national_yearly!$D:$AM, 21, FALSE) / VLOOKUP("buildings|SO2|Minor restricted activity days", US_national_yearly!$D:$AM, 10, FALSE), 1)</f>
        <v>2.1489699198101144</v>
      </c>
      <c r="N14" s="7">
        <f>$B14 * IFERROR(VLOOKUP("buildings|SO2|Minor restricted activity days", US_national_yearly!$D:$AM, 22, FALSE) / VLOOKUP("buildings|SO2|Minor restricted activity days", US_national_yearly!$D:$AM, 10, FALSE), 1)</f>
        <v>2.1667240167435016</v>
      </c>
      <c r="O14" s="7">
        <f>$B14 * IFERROR(VLOOKUP("buildings|SO2|Minor restricted activity days", US_national_yearly!$D:$AM, 23, FALSE) / VLOOKUP("buildings|SO2|Minor restricted activity days", US_national_yearly!$D:$AM, 10, FALSE), 1)</f>
        <v>2.1844781136768892</v>
      </c>
      <c r="P14" s="7">
        <f>$B14 * IFERROR(VLOOKUP("buildings|SO2|Minor restricted activity days", US_national_yearly!$D:$AM, 24, FALSE) / VLOOKUP("buildings|SO2|Minor restricted activity days", US_national_yearly!$D:$AM, 10, FALSE), 1)</f>
        <v>2.2022322106102759</v>
      </c>
      <c r="Q14" s="7">
        <f>$B14 * IFERROR(VLOOKUP("buildings|SO2|Minor restricted activity days", US_national_yearly!$D:$AM, 25, FALSE) / VLOOKUP("buildings|SO2|Minor restricted activity days", US_national_yearly!$D:$AM, 10, FALSE), 1)</f>
        <v>2.2199863075436634</v>
      </c>
      <c r="R14" s="7">
        <f>$B14 * IFERROR(VLOOKUP("buildings|SO2|Minor restricted activity days", US_national_yearly!$D:$AM, 26, FALSE) / VLOOKUP("buildings|SO2|Minor restricted activity days", US_national_yearly!$D:$AM, 10, FALSE), 1)</f>
        <v>2.2377404044770506</v>
      </c>
      <c r="S14" s="7">
        <f>$B14 * IFERROR(VLOOKUP("buildings|SO2|Minor restricted activity days", US_national_yearly!$D:$AM, 27, FALSE) / VLOOKUP("buildings|SO2|Minor restricted activity days", US_national_yearly!$D:$AM, 10, FALSE), 1)</f>
        <v>2.2558395536738667</v>
      </c>
      <c r="T14" s="7">
        <f>$B14 * IFERROR(VLOOKUP("buildings|SO2|Minor restricted activity days", US_national_yearly!$D:$AM, 28, FALSE) / VLOOKUP("buildings|SO2|Minor restricted activity days", US_national_yearly!$D:$AM, 10, FALSE), 1)</f>
        <v>2.2739387028706828</v>
      </c>
      <c r="U14" s="7">
        <f>$B14 * IFERROR(VLOOKUP("buildings|SO2|Minor restricted activity days", US_national_yearly!$D:$AM, 29, FALSE) / VLOOKUP("buildings|SO2|Minor restricted activity days", US_national_yearly!$D:$AM, 10, FALSE), 1)</f>
        <v>2.2920378520674989</v>
      </c>
      <c r="V14" s="7">
        <f>$B14 * IFERROR(VLOOKUP("buildings|SO2|Minor restricted activity days", US_national_yearly!$D:$AM, 30, FALSE) / VLOOKUP("buildings|SO2|Minor restricted activity days", US_national_yearly!$D:$AM, 10, FALSE), 1)</f>
        <v>2.3101370012643145</v>
      </c>
      <c r="W14" s="7">
        <f>$B14 * IFERROR(VLOOKUP("buildings|SO2|Minor restricted activity days", US_national_yearly!$D:$AM, 31, FALSE) / VLOOKUP("buildings|SO2|Minor restricted activity days", US_national_yearly!$D:$AM, 10, FALSE), 1)</f>
        <v>2.3282361504611311</v>
      </c>
      <c r="X14" s="7">
        <f>$B14 * IFERROR(VLOOKUP("buildings|SO2|Minor restricted activity days", US_national_yearly!$D:$AM, 32, FALSE) / VLOOKUP("buildings|SO2|Minor restricted activity days", US_national_yearly!$D:$AM, 10, FALSE), 1)</f>
        <v>2.3441533047643337</v>
      </c>
      <c r="Y14" s="7">
        <f>$B14 * IFERROR(VLOOKUP("buildings|SO2|Minor restricted activity days", US_national_yearly!$D:$AM, 33, FALSE) / VLOOKUP("buildings|SO2|Minor restricted activity days", US_national_yearly!$D:$AM, 10, FALSE), 1)</f>
        <v>2.3600704590675363</v>
      </c>
      <c r="Z14" s="7">
        <f>$B14 * IFERROR(VLOOKUP("buildings|SO2|Minor restricted activity days", US_national_yearly!$D:$AM, 34, FALSE) / VLOOKUP("buildings|SO2|Minor restricted activity days", US_national_yearly!$D:$AM, 10, FALSE), 1)</f>
        <v>2.3759876133707389</v>
      </c>
      <c r="AA14" s="7">
        <f>$B14 * IFERROR(VLOOKUP("buildings|SO2|Minor restricted activity days", US_national_yearly!$D:$AM, 35, FALSE) / VLOOKUP("buildings|SO2|Minor restricted activity days", US_national_yearly!$D:$AM, 10, FALSE), 1)</f>
        <v>2.3919047676739416</v>
      </c>
      <c r="AB14" s="7">
        <f>$B14 * IFERROR(VLOOKUP("buildings|SO2|Minor restricted activity days", US_national_yearly!$D:$AM, 36, FALSE) / VLOOKUP("buildings|SO2|Minor restricted activity days", US_national_yearly!$D:$AM, 10, FALSE), 1)</f>
        <v>2.4078219219771442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0.34579663426219137</v>
      </c>
      <c r="C15" s="7">
        <f>$B15 * IFERROR(VLOOKUP("buildings|SO2|Work loss days", US_national_yearly!$D:$AM, 11, FALSE) / VLOOKUP("buildings|SO2|Work loss days", US_national_yearly!$D:$AM, 10, FALSE), 1)</f>
        <v>0.34692012189549881</v>
      </c>
      <c r="D15" s="7">
        <f>$B15 * IFERROR(VLOOKUP("buildings|SO2|Work loss days", US_national_yearly!$D:$AM, 12, FALSE) / VLOOKUP("buildings|SO2|Work loss days", US_national_yearly!$D:$AM, 10, FALSE), 1)</f>
        <v>0.34804360952880625</v>
      </c>
      <c r="E15" s="7">
        <f>$B15 * IFERROR(VLOOKUP("buildings|SO2|Work loss days", US_national_yearly!$D:$AM, 13, FALSE) / VLOOKUP("buildings|SO2|Work loss days", US_national_yearly!$D:$AM, 10, FALSE), 1)</f>
        <v>0.34916709716211364</v>
      </c>
      <c r="F15" s="7">
        <f>$B15 * IFERROR(VLOOKUP("buildings|SO2|Work loss days", US_national_yearly!$D:$AM, 14, FALSE) / VLOOKUP("buildings|SO2|Work loss days", US_national_yearly!$D:$AM, 10, FALSE), 1)</f>
        <v>0.35029058479542102</v>
      </c>
      <c r="G15" s="7">
        <f>$B15 * IFERROR(VLOOKUP("buildings|SO2|Work loss days", US_national_yearly!$D:$AM, 15, FALSE) / VLOOKUP("buildings|SO2|Work loss days", US_national_yearly!$D:$AM, 10, FALSE), 1)</f>
        <v>0.35175792181677684</v>
      </c>
      <c r="H15" s="7">
        <f>$B15 * IFERROR(VLOOKUP("buildings|SO2|Work loss days", US_national_yearly!$D:$AM, 16, FALSE) / VLOOKUP("buildings|SO2|Work loss days", US_national_yearly!$D:$AM, 10, FALSE), 1)</f>
        <v>0.35322525883813272</v>
      </c>
      <c r="I15" s="7">
        <f>$B15 * IFERROR(VLOOKUP("buildings|SO2|Work loss days", US_national_yearly!$D:$AM, 17, FALSE) / VLOOKUP("buildings|SO2|Work loss days", US_national_yearly!$D:$AM, 10, FALSE), 1)</f>
        <v>0.3553705876933867</v>
      </c>
      <c r="J15" s="7">
        <f>$B15 * IFERROR(VLOOKUP("buildings|SO2|Work loss days", US_national_yearly!$D:$AM, 18, FALSE) / VLOOKUP("buildings|SO2|Work loss days", US_national_yearly!$D:$AM, 10, FALSE), 1)</f>
        <v>0.35751591654864057</v>
      </c>
      <c r="K15" s="7">
        <f>$B15 * IFERROR(VLOOKUP("buildings|SO2|Work loss days", US_national_yearly!$D:$AM, 19, FALSE) / VLOOKUP("buildings|SO2|Work loss days", US_national_yearly!$D:$AM, 10, FALSE), 1)</f>
        <v>0.35966124540389449</v>
      </c>
      <c r="L15" s="7">
        <f>$B15 * IFERROR(VLOOKUP("buildings|SO2|Work loss days", US_national_yearly!$D:$AM, 20, FALSE) / VLOOKUP("buildings|SO2|Work loss days", US_national_yearly!$D:$AM, 10, FALSE), 1)</f>
        <v>0.36180657425914836</v>
      </c>
      <c r="M15" s="7">
        <f>$B15 * IFERROR(VLOOKUP("buildings|SO2|Work loss days", US_national_yearly!$D:$AM, 21, FALSE) / VLOOKUP("buildings|SO2|Work loss days", US_national_yearly!$D:$AM, 10, FALSE), 1)</f>
        <v>0.36395190311440223</v>
      </c>
      <c r="N15" s="7">
        <f>$B15 * IFERROR(VLOOKUP("buildings|SO2|Work loss days", US_national_yearly!$D:$AM, 22, FALSE) / VLOOKUP("buildings|SO2|Work loss days", US_national_yearly!$D:$AM, 10, FALSE), 1)</f>
        <v>0.36664211035564681</v>
      </c>
      <c r="O15" s="7">
        <f>$B15 * IFERROR(VLOOKUP("buildings|SO2|Work loss days", US_national_yearly!$D:$AM, 23, FALSE) / VLOOKUP("buildings|SO2|Work loss days", US_national_yearly!$D:$AM, 10, FALSE), 1)</f>
        <v>0.36933231759689139</v>
      </c>
      <c r="P15" s="7">
        <f>$B15 * IFERROR(VLOOKUP("buildings|SO2|Work loss days", US_national_yearly!$D:$AM, 24, FALSE) / VLOOKUP("buildings|SO2|Work loss days", US_national_yearly!$D:$AM, 10, FALSE), 1)</f>
        <v>0.37202252483813592</v>
      </c>
      <c r="Q15" s="7">
        <f>$B15 * IFERROR(VLOOKUP("buildings|SO2|Work loss days", US_national_yearly!$D:$AM, 25, FALSE) / VLOOKUP("buildings|SO2|Work loss days", US_national_yearly!$D:$AM, 10, FALSE), 1)</f>
        <v>0.37471273207938055</v>
      </c>
      <c r="R15" s="7">
        <f>$B15 * IFERROR(VLOOKUP("buildings|SO2|Work loss days", US_national_yearly!$D:$AM, 26, FALSE) / VLOOKUP("buildings|SO2|Work loss days", US_national_yearly!$D:$AM, 10, FALSE), 1)</f>
        <v>0.37740293932062502</v>
      </c>
      <c r="S15" s="7">
        <f>$B15 * IFERROR(VLOOKUP("buildings|SO2|Work loss days", US_national_yearly!$D:$AM, 27, FALSE) / VLOOKUP("buildings|SO2|Work loss days", US_national_yearly!$D:$AM, 10, FALSE), 1)</f>
        <v>0.380408136456521</v>
      </c>
      <c r="T15" s="7">
        <f>$B15 * IFERROR(VLOOKUP("buildings|SO2|Work loss days", US_national_yearly!$D:$AM, 28, FALSE) / VLOOKUP("buildings|SO2|Work loss days", US_national_yearly!$D:$AM, 10, FALSE), 1)</f>
        <v>0.38341333359241697</v>
      </c>
      <c r="U15" s="7">
        <f>$B15 * IFERROR(VLOOKUP("buildings|SO2|Work loss days", US_national_yearly!$D:$AM, 29, FALSE) / VLOOKUP("buildings|SO2|Work loss days", US_national_yearly!$D:$AM, 10, FALSE), 1)</f>
        <v>0.38641853072831295</v>
      </c>
      <c r="V15" s="7">
        <f>$B15 * IFERROR(VLOOKUP("buildings|SO2|Work loss days", US_national_yearly!$D:$AM, 30, FALSE) / VLOOKUP("buildings|SO2|Work loss days", US_national_yearly!$D:$AM, 10, FALSE), 1)</f>
        <v>0.38942372786420887</v>
      </c>
      <c r="W15" s="7">
        <f>$B15 * IFERROR(VLOOKUP("buildings|SO2|Work loss days", US_national_yearly!$D:$AM, 31, FALSE) / VLOOKUP("buildings|SO2|Work loss days", US_national_yearly!$D:$AM, 10, FALSE), 1)</f>
        <v>0.39242892500010484</v>
      </c>
      <c r="X15" s="7">
        <f>$B15 * IFERROR(VLOOKUP("buildings|SO2|Work loss days", US_national_yearly!$D:$AM, 32, FALSE) / VLOOKUP("buildings|SO2|Work loss days", US_national_yearly!$D:$AM, 10, FALSE), 1)</f>
        <v>0.39512723779368353</v>
      </c>
      <c r="Y15" s="7">
        <f>$B15 * IFERROR(VLOOKUP("buildings|SO2|Work loss days", US_national_yearly!$D:$AM, 33, FALSE) / VLOOKUP("buildings|SO2|Work loss days", US_national_yearly!$D:$AM, 10, FALSE), 1)</f>
        <v>0.39782555058726227</v>
      </c>
      <c r="Z15" s="7">
        <f>$B15 * IFERROR(VLOOKUP("buildings|SO2|Work loss days", US_national_yearly!$D:$AM, 34, FALSE) / VLOOKUP("buildings|SO2|Work loss days", US_national_yearly!$D:$AM, 10, FALSE), 1)</f>
        <v>0.40052386338084089</v>
      </c>
      <c r="AA15" s="7">
        <f>$B15 * IFERROR(VLOOKUP("buildings|SO2|Work loss days", US_national_yearly!$D:$AM, 35, FALSE) / VLOOKUP("buildings|SO2|Work loss days", US_national_yearly!$D:$AM, 10, FALSE), 1)</f>
        <v>0.40322217617441958</v>
      </c>
      <c r="AB15" s="7">
        <f>$B15 * IFERROR(VLOOKUP("buildings|SO2|Work loss days", US_national_yearly!$D:$AM, 36, FALSE) / VLOOKUP("buildings|SO2|Work loss days", US_national_yearly!$D:$AM, 10, FALSE), 1)</f>
        <v>0.40592048896799821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8.538143253648588E-4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8.7964166098139182E-4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9.0546899659792483E-4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9.3129633221445806E-4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9.5712366783099118E-4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9.8186470832762381E-4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1.0066057488242563E-3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1.0278087706896886E-3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1.0490117925551204E-3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1.0702148144205526E-3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1.0914178362859846E-3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1.1126208581514164E-3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1.1268582624019135E-3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1.1410956666524107E-3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1.155333070902908E-3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1.1695704751534049E-3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1.1838078794039022E-3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1.1912950295380558E-3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1.1987821796722094E-3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1.206269329806363E-3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1.2137564799405167E-3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1.2212436300746701E-3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1.2262712682211882E-3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1.2312989063677064E-3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1.2363265445142243E-3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1.2413541826607425E-3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1.2463818208072604E-3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3.3298075739858601E-2</v>
      </c>
      <c r="C2" s="7">
        <f>$B2 * IFERROR(VLOOKUP("industry|PM25|Premature mortality", US_national_yearly!$D:$AM, 11, FALSE) / VLOOKUP("industry|PM25|Premature mortality", US_national_yearly!$D:$AM, 10, FALSE), 1)</f>
        <v>3.3712745597416965E-2</v>
      </c>
      <c r="D2" s="7">
        <f>$B2 * IFERROR(VLOOKUP("industry|PM25|Premature mortality", US_national_yearly!$D:$AM, 12, FALSE) / VLOOKUP("industry|PM25|Premature mortality", US_national_yearly!$D:$AM, 10, FALSE), 1)</f>
        <v>3.4127415454975329E-2</v>
      </c>
      <c r="E2" s="7">
        <f>$B2 * IFERROR(VLOOKUP("industry|PM25|Premature mortality", US_national_yearly!$D:$AM, 13, FALSE) / VLOOKUP("industry|PM25|Premature mortality", US_national_yearly!$D:$AM, 10, FALSE), 1)</f>
        <v>3.4542085312533694E-2</v>
      </c>
      <c r="F2" s="7">
        <f>$B2 * IFERROR(VLOOKUP("industry|PM25|Premature mortality", US_national_yearly!$D:$AM, 14, FALSE) / VLOOKUP("industry|PM25|Premature mortality", US_national_yearly!$D:$AM, 10, FALSE), 1)</f>
        <v>3.4956755170092058E-2</v>
      </c>
      <c r="G2" s="7">
        <f>$B2 * IFERROR(VLOOKUP("industry|PM25|Premature mortality", US_national_yearly!$D:$AM, 15, FALSE) / VLOOKUP("industry|PM25|Premature mortality", US_national_yearly!$D:$AM, 10, FALSE), 1)</f>
        <v>3.5763488937134262E-2</v>
      </c>
      <c r="H2" s="7">
        <f>$B2 * IFERROR(VLOOKUP("industry|PM25|Premature mortality", US_national_yearly!$D:$AM, 16, FALSE) / VLOOKUP("industry|PM25|Premature mortality", US_national_yearly!$D:$AM, 10, FALSE), 1)</f>
        <v>3.6570222704176474E-2</v>
      </c>
      <c r="I2" s="7">
        <f>$B2 * IFERROR(VLOOKUP("industry|PM25|Premature mortality", US_national_yearly!$D:$AM, 17, FALSE) / VLOOKUP("industry|PM25|Premature mortality", US_national_yearly!$D:$AM, 10, FALSE), 1)</f>
        <v>3.7102906328710106E-2</v>
      </c>
      <c r="J2" s="7">
        <f>$B2 * IFERROR(VLOOKUP("industry|PM25|Premature mortality", US_national_yearly!$D:$AM, 18, FALSE) / VLOOKUP("industry|PM25|Premature mortality", US_national_yearly!$D:$AM, 10, FALSE), 1)</f>
        <v>3.7635589953243724E-2</v>
      </c>
      <c r="K2" s="7">
        <f>$B2 * IFERROR(VLOOKUP("industry|PM25|Premature mortality", US_national_yearly!$D:$AM, 19, FALSE) / VLOOKUP("industry|PM25|Premature mortality", US_national_yearly!$D:$AM, 10, FALSE), 1)</f>
        <v>3.8168273577777349E-2</v>
      </c>
      <c r="L2" s="7">
        <f>$B2 * IFERROR(VLOOKUP("industry|PM25|Premature mortality", US_national_yearly!$D:$AM, 20, FALSE) / VLOOKUP("industry|PM25|Premature mortality", US_national_yearly!$D:$AM, 10, FALSE), 1)</f>
        <v>3.8700957202310975E-2</v>
      </c>
      <c r="M2" s="7">
        <f>$B2 * IFERROR(VLOOKUP("industry|PM25|Premature mortality", US_national_yearly!$D:$AM, 21, FALSE) / VLOOKUP("industry|PM25|Premature mortality", US_national_yearly!$D:$AM, 10, FALSE), 1)</f>
        <v>3.9233640826844607E-2</v>
      </c>
      <c r="N2" s="7">
        <f>$B2 * IFERROR(VLOOKUP("industry|PM25|Premature mortality", US_national_yearly!$D:$AM, 22, FALSE) / VLOOKUP("industry|PM25|Premature mortality", US_national_yearly!$D:$AM, 10, FALSE), 1)</f>
        <v>3.9648646913136493E-2</v>
      </c>
      <c r="O2" s="7">
        <f>$B2 * IFERROR(VLOOKUP("industry|PM25|Premature mortality", US_national_yearly!$D:$AM, 23, FALSE) / VLOOKUP("industry|PM25|Premature mortality", US_national_yearly!$D:$AM, 10, FALSE), 1)</f>
        <v>4.0063652999428379E-2</v>
      </c>
      <c r="P2" s="7">
        <f>$B2 * IFERROR(VLOOKUP("industry|PM25|Premature mortality", US_national_yearly!$D:$AM, 24, FALSE) / VLOOKUP("industry|PM25|Premature mortality", US_national_yearly!$D:$AM, 10, FALSE), 1)</f>
        <v>4.0478659085720264E-2</v>
      </c>
      <c r="Q2" s="7">
        <f>$B2 * IFERROR(VLOOKUP("industry|PM25|Premature mortality", US_national_yearly!$D:$AM, 25, FALSE) / VLOOKUP("industry|PM25|Premature mortality", US_national_yearly!$D:$AM, 10, FALSE), 1)</f>
        <v>4.0893665172012157E-2</v>
      </c>
      <c r="R2" s="7">
        <f>$B2 * IFERROR(VLOOKUP("industry|PM25|Premature mortality", US_national_yearly!$D:$AM, 26, FALSE) / VLOOKUP("industry|PM25|Premature mortality", US_national_yearly!$D:$AM, 10, FALSE), 1)</f>
        <v>4.1308671258304036E-2</v>
      </c>
      <c r="S2" s="7">
        <f>$B2 * IFERROR(VLOOKUP("industry|PM25|Premature mortality", US_national_yearly!$D:$AM, 27, FALSE) / VLOOKUP("industry|PM25|Premature mortality", US_national_yearly!$D:$AM, 10, FALSE), 1)</f>
        <v>4.1532759152440715E-2</v>
      </c>
      <c r="T2" s="7">
        <f>$B2 * IFERROR(VLOOKUP("industry|PM25|Premature mortality", US_national_yearly!$D:$AM, 28, FALSE) / VLOOKUP("industry|PM25|Premature mortality", US_national_yearly!$D:$AM, 10, FALSE), 1)</f>
        <v>4.1756847046577387E-2</v>
      </c>
      <c r="U2" s="7">
        <f>$B2 * IFERROR(VLOOKUP("industry|PM25|Premature mortality", US_national_yearly!$D:$AM, 29, FALSE) / VLOOKUP("industry|PM25|Premature mortality", US_national_yearly!$D:$AM, 10, FALSE), 1)</f>
        <v>4.1980934940714081E-2</v>
      </c>
      <c r="V2" s="7">
        <f>$B2 * IFERROR(VLOOKUP("industry|PM25|Premature mortality", US_national_yearly!$D:$AM, 30, FALSE) / VLOOKUP("industry|PM25|Premature mortality", US_national_yearly!$D:$AM, 10, FALSE), 1)</f>
        <v>4.2205022834850753E-2</v>
      </c>
      <c r="W2" s="7">
        <f>$B2 * IFERROR(VLOOKUP("industry|PM25|Premature mortality", US_national_yearly!$D:$AM, 31, FALSE) / VLOOKUP("industry|PM25|Premature mortality", US_national_yearly!$D:$AM, 10, FALSE), 1)</f>
        <v>4.2429110728987425E-2</v>
      </c>
      <c r="X2" s="7">
        <f>$B2 * IFERROR(VLOOKUP("industry|PM25|Premature mortality", US_national_yearly!$D:$AM, 32, FALSE) / VLOOKUP("industry|PM25|Premature mortality", US_national_yearly!$D:$AM, 10, FALSE), 1)</f>
        <v>4.2475377024701923E-2</v>
      </c>
      <c r="Y2" s="7">
        <f>$B2 * IFERROR(VLOOKUP("industry|PM25|Premature mortality", US_national_yearly!$D:$AM, 33, FALSE) / VLOOKUP("industry|PM25|Premature mortality", US_national_yearly!$D:$AM, 10, FALSE), 1)</f>
        <v>4.2521643320416434E-2</v>
      </c>
      <c r="Z2" s="7">
        <f>$B2 * IFERROR(VLOOKUP("industry|PM25|Premature mortality", US_national_yearly!$D:$AM, 34, FALSE) / VLOOKUP("industry|PM25|Premature mortality", US_national_yearly!$D:$AM, 10, FALSE), 1)</f>
        <v>4.2567909616130925E-2</v>
      </c>
      <c r="AA2" s="7">
        <f>$B2 * IFERROR(VLOOKUP("industry|PM25|Premature mortality", US_national_yearly!$D:$AM, 35, FALSE) / VLOOKUP("industry|PM25|Premature mortality", US_national_yearly!$D:$AM, 10, FALSE), 1)</f>
        <v>4.2614175911845437E-2</v>
      </c>
      <c r="AB2" s="7">
        <f>$B2 * IFERROR(VLOOKUP("industry|PM25|Premature mortality", US_national_yearly!$D:$AM, 36, FALSE) / VLOOKUP("industry|PM25|Premature mortality", US_national_yearly!$D:$AM, 10, FALSE), 1)</f>
        <v>4.2660442207559934E-2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8.6990566237054483E-5</v>
      </c>
      <c r="C3" s="7">
        <f>$B3 * IFERROR(VLOOKUP("industry|PM25|Infant mortality", US_national_yearly!$D:$AM, 11, FALSE) / VLOOKUP("industry|PM25|Infant mortality", US_national_yearly!$D:$AM, 10, FALSE), 1)</f>
        <v>8.6233152525529979E-5</v>
      </c>
      <c r="D3" s="7">
        <f>$B3 * IFERROR(VLOOKUP("industry|PM25|Infant mortality", US_national_yearly!$D:$AM, 12, FALSE) / VLOOKUP("industry|PM25|Infant mortality", US_national_yearly!$D:$AM, 10, FALSE), 1)</f>
        <v>8.5475738814005462E-5</v>
      </c>
      <c r="E3" s="7">
        <f>$B3 * IFERROR(VLOOKUP("industry|PM25|Infant mortality", US_national_yearly!$D:$AM, 13, FALSE) / VLOOKUP("industry|PM25|Infant mortality", US_national_yearly!$D:$AM, 10, FALSE), 1)</f>
        <v>8.4718325102480944E-5</v>
      </c>
      <c r="F3" s="7">
        <f>$B3 * IFERROR(VLOOKUP("industry|PM25|Infant mortality", US_national_yearly!$D:$AM, 14, FALSE) / VLOOKUP("industry|PM25|Infant mortality", US_national_yearly!$D:$AM, 10, FALSE), 1)</f>
        <v>8.396091139095644E-5</v>
      </c>
      <c r="G3" s="7">
        <f>$B3 * IFERROR(VLOOKUP("industry|PM25|Infant mortality", US_national_yearly!$D:$AM, 15, FALSE) / VLOOKUP("industry|PM25|Infant mortality", US_national_yearly!$D:$AM, 10, FALSE), 1)</f>
        <v>5.5786568410400105E-5</v>
      </c>
      <c r="H3" s="7">
        <f>$B3 * IFERROR(VLOOKUP("industry|PM25|Infant mortality", US_national_yearly!$D:$AM, 16, FALSE) / VLOOKUP("industry|PM25|Infant mortality", US_national_yearly!$D:$AM, 10, FALSE), 1)</f>
        <v>2.7612225429843771E-5</v>
      </c>
      <c r="I3" s="7">
        <f>$B3 * IFERROR(VLOOKUP("industry|PM25|Infant mortality", US_national_yearly!$D:$AM, 17, FALSE) / VLOOKUP("industry|PM25|Infant mortality", US_national_yearly!$D:$AM, 10, FALSE), 1)</f>
        <v>2.7428438835300857E-5</v>
      </c>
      <c r="J3" s="7">
        <f>$B3 * IFERROR(VLOOKUP("industry|PM25|Infant mortality", US_national_yearly!$D:$AM, 18, FALSE) / VLOOKUP("industry|PM25|Infant mortality", US_national_yearly!$D:$AM, 10, FALSE), 1)</f>
        <v>2.724465224075794E-5</v>
      </c>
      <c r="K3" s="7">
        <f>$B3 * IFERROR(VLOOKUP("industry|PM25|Infant mortality", US_national_yearly!$D:$AM, 19, FALSE) / VLOOKUP("industry|PM25|Infant mortality", US_national_yearly!$D:$AM, 10, FALSE), 1)</f>
        <v>2.7060865646215023E-5</v>
      </c>
      <c r="L3" s="7">
        <f>$B3 * IFERROR(VLOOKUP("industry|PM25|Infant mortality", US_national_yearly!$D:$AM, 20, FALSE) / VLOOKUP("industry|PM25|Infant mortality", US_national_yearly!$D:$AM, 10, FALSE), 1)</f>
        <v>2.6877079051672103E-5</v>
      </c>
      <c r="M3" s="7">
        <f>$B3 * IFERROR(VLOOKUP("industry|PM25|Infant mortality", US_national_yearly!$D:$AM, 21, FALSE) / VLOOKUP("industry|PM25|Infant mortality", US_national_yearly!$D:$AM, 10, FALSE), 1)</f>
        <v>2.6693292457129193E-5</v>
      </c>
      <c r="N3" s="7">
        <f>$B3 * IFERROR(VLOOKUP("industry|PM25|Infant mortality", US_national_yearly!$D:$AM, 22, FALSE) / VLOOKUP("industry|PM25|Infant mortality", US_national_yearly!$D:$AM, 10, FALSE), 1)</f>
        <v>2.6576018712831277E-5</v>
      </c>
      <c r="O3" s="7">
        <f>$B3 * IFERROR(VLOOKUP("industry|PM25|Infant mortality", US_national_yearly!$D:$AM, 23, FALSE) / VLOOKUP("industry|PM25|Infant mortality", US_national_yearly!$D:$AM, 10, FALSE), 1)</f>
        <v>2.6458744968533364E-5</v>
      </c>
      <c r="P3" s="7">
        <f>$B3 * IFERROR(VLOOKUP("industry|PM25|Infant mortality", US_national_yearly!$D:$AM, 24, FALSE) / VLOOKUP("industry|PM25|Infant mortality", US_national_yearly!$D:$AM, 10, FALSE), 1)</f>
        <v>2.6341471224235455E-5</v>
      </c>
      <c r="Q3" s="7">
        <f>$B3 * IFERROR(VLOOKUP("industry|PM25|Infant mortality", US_national_yearly!$D:$AM, 25, FALSE) / VLOOKUP("industry|PM25|Infant mortality", US_national_yearly!$D:$AM, 10, FALSE), 1)</f>
        <v>2.6224197479937542E-5</v>
      </c>
      <c r="R3" s="7">
        <f>$B3 * IFERROR(VLOOKUP("industry|PM25|Infant mortality", US_national_yearly!$D:$AM, 26, FALSE) / VLOOKUP("industry|PM25|Infant mortality", US_national_yearly!$D:$AM, 10, FALSE), 1)</f>
        <v>2.6106923735639629E-5</v>
      </c>
      <c r="S3" s="7">
        <f>$B3 * IFERROR(VLOOKUP("industry|PM25|Infant mortality", US_national_yearly!$D:$AM, 27, FALSE) / VLOOKUP("industry|PM25|Infant mortality", US_national_yearly!$D:$AM, 10, FALSE), 1)</f>
        <v>2.5962687618842914E-5</v>
      </c>
      <c r="T3" s="7">
        <f>$B3 * IFERROR(VLOOKUP("industry|PM25|Infant mortality", US_national_yearly!$D:$AM, 28, FALSE) / VLOOKUP("industry|PM25|Infant mortality", US_national_yearly!$D:$AM, 10, FALSE), 1)</f>
        <v>2.5818451502046202E-5</v>
      </c>
      <c r="U3" s="7">
        <f>$B3 * IFERROR(VLOOKUP("industry|PM25|Infant mortality", US_national_yearly!$D:$AM, 29, FALSE) / VLOOKUP("industry|PM25|Infant mortality", US_national_yearly!$D:$AM, 10, FALSE), 1)</f>
        <v>2.5674215385249487E-5</v>
      </c>
      <c r="V3" s="7">
        <f>$B3 * IFERROR(VLOOKUP("industry|PM25|Infant mortality", US_national_yearly!$D:$AM, 30, FALSE) / VLOOKUP("industry|PM25|Infant mortality", US_national_yearly!$D:$AM, 10, FALSE), 1)</f>
        <v>2.5529979268452778E-5</v>
      </c>
      <c r="W3" s="7">
        <f>$B3 * IFERROR(VLOOKUP("industry|PM25|Infant mortality", US_national_yearly!$D:$AM, 31, FALSE) / VLOOKUP("industry|PM25|Infant mortality", US_national_yearly!$D:$AM, 10, FALSE), 1)</f>
        <v>2.5385743151656066E-5</v>
      </c>
      <c r="X3" s="7">
        <f>$B3 * IFERROR(VLOOKUP("industry|PM25|Infant mortality", US_national_yearly!$D:$AM, 32, FALSE) / VLOOKUP("industry|PM25|Infant mortality", US_national_yearly!$D:$AM, 10, FALSE), 1)</f>
        <v>2.5231608787572667E-5</v>
      </c>
      <c r="Y3" s="7">
        <f>$B3 * IFERROR(VLOOKUP("industry|PM25|Infant mortality", US_national_yearly!$D:$AM, 33, FALSE) / VLOOKUP("industry|PM25|Infant mortality", US_national_yearly!$D:$AM, 10, FALSE), 1)</f>
        <v>2.5077474423489268E-5</v>
      </c>
      <c r="Z3" s="7">
        <f>$B3 * IFERROR(VLOOKUP("industry|PM25|Infant mortality", US_national_yearly!$D:$AM, 34, FALSE) / VLOOKUP("industry|PM25|Infant mortality", US_national_yearly!$D:$AM, 10, FALSE), 1)</f>
        <v>2.4923340059405868E-5</v>
      </c>
      <c r="AA3" s="7">
        <f>$B3 * IFERROR(VLOOKUP("industry|PM25|Infant mortality", US_national_yearly!$D:$AM, 35, FALSE) / VLOOKUP("industry|PM25|Infant mortality", US_national_yearly!$D:$AM, 10, FALSE), 1)</f>
        <v>2.4769205695322465E-5</v>
      </c>
      <c r="AB3" s="7">
        <f>$B3 * IFERROR(VLOOKUP("industry|PM25|Infant mortality", US_national_yearly!$D:$AM, 36, FALSE) / VLOOKUP("industry|PM25|Infant mortality", US_national_yearly!$D:$AM, 10, FALSE), 1)</f>
        <v>2.4615071331239066E-5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7.2722978780399808E-2</v>
      </c>
      <c r="C6" s="7">
        <f>$B6 * IFERROR(VLOOKUP("industry|PM25|Asthma symptoms cough", US_national_yearly!$D:$AM, 11, FALSE) / VLOOKUP("industry|PM25|Asthma symptoms cough", US_national_yearly!$D:$AM, 10, FALSE), 1)</f>
        <v>7.2722978780399808E-2</v>
      </c>
      <c r="D6" s="7">
        <f>$B6 * IFERROR(VLOOKUP("industry|PM25|Asthma symptoms cough", US_national_yearly!$D:$AM, 12, FALSE) / VLOOKUP("industry|PM25|Asthma symptoms cough", US_national_yearly!$D:$AM, 10, FALSE), 1)</f>
        <v>7.2722978780399808E-2</v>
      </c>
      <c r="E6" s="7">
        <f>$B6 * IFERROR(VLOOKUP("industry|PM25|Asthma symptoms cough", US_national_yearly!$D:$AM, 13, FALSE) / VLOOKUP("industry|PM25|Asthma symptoms cough", US_national_yearly!$D:$AM, 10, FALSE), 1)</f>
        <v>7.2722978780399808E-2</v>
      </c>
      <c r="F6" s="7">
        <f>$B6 * IFERROR(VLOOKUP("industry|PM25|Asthma symptoms cough", US_national_yearly!$D:$AM, 14, FALSE) / VLOOKUP("industry|PM25|Asthma symptoms cough", US_national_yearly!$D:$AM, 10, FALSE), 1)</f>
        <v>7.2722978780399808E-2</v>
      </c>
      <c r="G6" s="7">
        <f>$B6 * IFERROR(VLOOKUP("industry|PM25|Asthma symptoms cough", US_national_yearly!$D:$AM, 15, FALSE) / VLOOKUP("industry|PM25|Asthma symptoms cough", US_national_yearly!$D:$AM, 10, FALSE), 1)</f>
        <v>7.2722978780399808E-2</v>
      </c>
      <c r="H6" s="7">
        <f>$B6 * IFERROR(VLOOKUP("industry|PM25|Asthma symptoms cough", US_national_yearly!$D:$AM, 16, FALSE) / VLOOKUP("industry|PM25|Asthma symptoms cough", US_national_yearly!$D:$AM, 10, FALSE), 1)</f>
        <v>7.2722978780399808E-2</v>
      </c>
      <c r="I6" s="7">
        <f>$B6 * IFERROR(VLOOKUP("industry|PM25|Asthma symptoms cough", US_national_yearly!$D:$AM, 17, FALSE) / VLOOKUP("industry|PM25|Asthma symptoms cough", US_national_yearly!$D:$AM, 10, FALSE), 1)</f>
        <v>7.2722978780399808E-2</v>
      </c>
      <c r="J6" s="7">
        <f>$B6 * IFERROR(VLOOKUP("industry|PM25|Asthma symptoms cough", US_national_yearly!$D:$AM, 18, FALSE) / VLOOKUP("industry|PM25|Asthma symptoms cough", US_national_yearly!$D:$AM, 10, FALSE), 1)</f>
        <v>7.2722978780399808E-2</v>
      </c>
      <c r="K6" s="7">
        <f>$B6 * IFERROR(VLOOKUP("industry|PM25|Asthma symptoms cough", US_national_yearly!$D:$AM, 19, FALSE) / VLOOKUP("industry|PM25|Asthma symptoms cough", US_national_yearly!$D:$AM, 10, FALSE), 1)</f>
        <v>7.2722978780399808E-2</v>
      </c>
      <c r="L6" s="7">
        <f>$B6 * IFERROR(VLOOKUP("industry|PM25|Asthma symptoms cough", US_national_yearly!$D:$AM, 20, FALSE) / VLOOKUP("industry|PM25|Asthma symptoms cough", US_national_yearly!$D:$AM, 10, FALSE), 1)</f>
        <v>7.2722978780399808E-2</v>
      </c>
      <c r="M6" s="7">
        <f>$B6 * IFERROR(VLOOKUP("industry|PM25|Asthma symptoms cough", US_national_yearly!$D:$AM, 21, FALSE) / VLOOKUP("industry|PM25|Asthma symptoms cough", US_national_yearly!$D:$AM, 10, FALSE), 1)</f>
        <v>7.2722978780399808E-2</v>
      </c>
      <c r="N6" s="7">
        <f>$B6 * IFERROR(VLOOKUP("industry|PM25|Asthma symptoms cough", US_national_yearly!$D:$AM, 22, FALSE) / VLOOKUP("industry|PM25|Asthma symptoms cough", US_national_yearly!$D:$AM, 10, FALSE), 1)</f>
        <v>7.2722978780399808E-2</v>
      </c>
      <c r="O6" s="7">
        <f>$B6 * IFERROR(VLOOKUP("industry|PM25|Asthma symptoms cough", US_national_yearly!$D:$AM, 23, FALSE) / VLOOKUP("industry|PM25|Asthma symptoms cough", US_national_yearly!$D:$AM, 10, FALSE), 1)</f>
        <v>7.2722978780399808E-2</v>
      </c>
      <c r="P6" s="7">
        <f>$B6 * IFERROR(VLOOKUP("industry|PM25|Asthma symptoms cough", US_national_yearly!$D:$AM, 24, FALSE) / VLOOKUP("industry|PM25|Asthma symptoms cough", US_national_yearly!$D:$AM, 10, FALSE), 1)</f>
        <v>7.2722978780399808E-2</v>
      </c>
      <c r="Q6" s="7">
        <f>$B6 * IFERROR(VLOOKUP("industry|PM25|Asthma symptoms cough", US_national_yearly!$D:$AM, 25, FALSE) / VLOOKUP("industry|PM25|Asthma symptoms cough", US_national_yearly!$D:$AM, 10, FALSE), 1)</f>
        <v>7.2722978780399808E-2</v>
      </c>
      <c r="R6" s="7">
        <f>$B6 * IFERROR(VLOOKUP("industry|PM25|Asthma symptoms cough", US_national_yearly!$D:$AM, 26, FALSE) / VLOOKUP("industry|PM25|Asthma symptoms cough", US_national_yearly!$D:$AM, 10, FALSE), 1)</f>
        <v>7.2722978780399808E-2</v>
      </c>
      <c r="S6" s="7">
        <f>$B6 * IFERROR(VLOOKUP("industry|PM25|Asthma symptoms cough", US_national_yearly!$D:$AM, 27, FALSE) / VLOOKUP("industry|PM25|Asthma symptoms cough", US_national_yearly!$D:$AM, 10, FALSE), 1)</f>
        <v>7.2722978780399808E-2</v>
      </c>
      <c r="T6" s="7">
        <f>$B6 * IFERROR(VLOOKUP("industry|PM25|Asthma symptoms cough", US_national_yearly!$D:$AM, 28, FALSE) / VLOOKUP("industry|PM25|Asthma symptoms cough", US_national_yearly!$D:$AM, 10, FALSE), 1)</f>
        <v>7.2722978780399808E-2</v>
      </c>
      <c r="U6" s="7">
        <f>$B6 * IFERROR(VLOOKUP("industry|PM25|Asthma symptoms cough", US_national_yearly!$D:$AM, 29, FALSE) / VLOOKUP("industry|PM25|Asthma symptoms cough", US_national_yearly!$D:$AM, 10, FALSE), 1)</f>
        <v>7.2722978780399808E-2</v>
      </c>
      <c r="V6" s="7">
        <f>$B6 * IFERROR(VLOOKUP("industry|PM25|Asthma symptoms cough", US_national_yearly!$D:$AM, 30, FALSE) / VLOOKUP("industry|PM25|Asthma symptoms cough", US_national_yearly!$D:$AM, 10, FALSE), 1)</f>
        <v>7.2722978780399808E-2</v>
      </c>
      <c r="W6" s="7">
        <f>$B6 * IFERROR(VLOOKUP("industry|PM25|Asthma symptoms cough", US_national_yearly!$D:$AM, 31, FALSE) / VLOOKUP("industry|PM25|Asthma symptoms cough", US_national_yearly!$D:$AM, 10, FALSE), 1)</f>
        <v>7.2722978780399808E-2</v>
      </c>
      <c r="X6" s="7">
        <f>$B6 * IFERROR(VLOOKUP("industry|PM25|Asthma symptoms cough", US_national_yearly!$D:$AM, 32, FALSE) / VLOOKUP("industry|PM25|Asthma symptoms cough", US_national_yearly!$D:$AM, 10, FALSE), 1)</f>
        <v>7.2722978780399808E-2</v>
      </c>
      <c r="Y6" s="7">
        <f>$B6 * IFERROR(VLOOKUP("industry|PM25|Asthma symptoms cough", US_national_yearly!$D:$AM, 33, FALSE) / VLOOKUP("industry|PM25|Asthma symptoms cough", US_national_yearly!$D:$AM, 10, FALSE), 1)</f>
        <v>7.2722978780399808E-2</v>
      </c>
      <c r="Z6" s="7">
        <f>$B6 * IFERROR(VLOOKUP("industry|PM25|Asthma symptoms cough", US_national_yearly!$D:$AM, 34, FALSE) / VLOOKUP("industry|PM25|Asthma symptoms cough", US_national_yearly!$D:$AM, 10, FALSE), 1)</f>
        <v>7.2722978780399808E-2</v>
      </c>
      <c r="AA6" s="7">
        <f>$B6 * IFERROR(VLOOKUP("industry|PM25|Asthma symptoms cough", US_national_yearly!$D:$AM, 35, FALSE) / VLOOKUP("industry|PM25|Asthma symptoms cough", US_national_yearly!$D:$AM, 10, FALSE), 1)</f>
        <v>7.2722978780399808E-2</v>
      </c>
      <c r="AB6" s="7">
        <f>$B6 * IFERROR(VLOOKUP("industry|PM25|Asthma symptoms cough", US_national_yearly!$D:$AM, 36, FALSE) / VLOOKUP("industry|PM25|Asthma symptoms cough", US_national_yearly!$D:$AM, 10, FALSE), 1)</f>
        <v>7.2722978780399808E-2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9.7923302193386075E-2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9.7923302193386075E-2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9.7923302193386075E-2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9.7923302193386075E-2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9.7923302193386075E-2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9.7923302193386075E-2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9.7923302193386075E-2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9.7923302193386075E-2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9.7923302193386075E-2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9.7923302193386075E-2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9.7923302193386075E-2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9.7923302193386075E-2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9.7923302193386075E-2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9.7923302193386075E-2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9.7923302193386075E-2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9.7923302193386075E-2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9.7923302193386075E-2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9.7923302193386075E-2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9.7923302193386075E-2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9.7923302193386075E-2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9.7923302193386075E-2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9.7923302193386075E-2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9.7923302193386075E-2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9.7923302193386075E-2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9.7923302193386075E-2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9.7923302193386075E-2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9.7923302193386075E-2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0.14964135405719281</v>
      </c>
      <c r="C8" s="7">
        <f>$B8 * IFERROR(VLOOKUP("industry|PM25|Asthma symptoms wheeze", US_national_yearly!$D:$AM, 11, FALSE) / VLOOKUP("industry|PM25|Asthma symptoms wheeze", US_national_yearly!$D:$AM, 10, FALSE), 1)</f>
        <v>0.14964135405719281</v>
      </c>
      <c r="D8" s="7">
        <f>$B8 * IFERROR(VLOOKUP("industry|PM25|Asthma symptoms wheeze", US_national_yearly!$D:$AM, 12, FALSE) / VLOOKUP("industry|PM25|Asthma symptoms wheeze", US_national_yearly!$D:$AM, 10, FALSE), 1)</f>
        <v>0.14964135405719281</v>
      </c>
      <c r="E8" s="7">
        <f>$B8 * IFERROR(VLOOKUP("industry|PM25|Asthma symptoms wheeze", US_national_yearly!$D:$AM, 13, FALSE) / VLOOKUP("industry|PM25|Asthma symptoms wheeze", US_national_yearly!$D:$AM, 10, FALSE), 1)</f>
        <v>0.14964135405719281</v>
      </c>
      <c r="F8" s="7">
        <f>$B8 * IFERROR(VLOOKUP("industry|PM25|Asthma symptoms wheeze", US_national_yearly!$D:$AM, 14, FALSE) / VLOOKUP("industry|PM25|Asthma symptoms wheeze", US_national_yearly!$D:$AM, 10, FALSE), 1)</f>
        <v>0.14964135405719281</v>
      </c>
      <c r="G8" s="7">
        <f>$B8 * IFERROR(VLOOKUP("industry|PM25|Asthma symptoms wheeze", US_national_yearly!$D:$AM, 15, FALSE) / VLOOKUP("industry|PM25|Asthma symptoms wheeze", US_national_yearly!$D:$AM, 10, FALSE), 1)</f>
        <v>0.14964135405719281</v>
      </c>
      <c r="H8" s="7">
        <f>$B8 * IFERROR(VLOOKUP("industry|PM25|Asthma symptoms wheeze", US_national_yearly!$D:$AM, 16, FALSE) / VLOOKUP("industry|PM25|Asthma symptoms wheeze", US_national_yearly!$D:$AM, 10, FALSE), 1)</f>
        <v>0.14964135405719281</v>
      </c>
      <c r="I8" s="7">
        <f>$B8 * IFERROR(VLOOKUP("industry|PM25|Asthma symptoms wheeze", US_national_yearly!$D:$AM, 17, FALSE) / VLOOKUP("industry|PM25|Asthma symptoms wheeze", US_national_yearly!$D:$AM, 10, FALSE), 1)</f>
        <v>0.14964135405719281</v>
      </c>
      <c r="J8" s="7">
        <f>$B8 * IFERROR(VLOOKUP("industry|PM25|Asthma symptoms wheeze", US_national_yearly!$D:$AM, 18, FALSE) / VLOOKUP("industry|PM25|Asthma symptoms wheeze", US_national_yearly!$D:$AM, 10, FALSE), 1)</f>
        <v>0.14964135405719281</v>
      </c>
      <c r="K8" s="7">
        <f>$B8 * IFERROR(VLOOKUP("industry|PM25|Asthma symptoms wheeze", US_national_yearly!$D:$AM, 19, FALSE) / VLOOKUP("industry|PM25|Asthma symptoms wheeze", US_national_yearly!$D:$AM, 10, FALSE), 1)</f>
        <v>0.14964135405719281</v>
      </c>
      <c r="L8" s="7">
        <f>$B8 * IFERROR(VLOOKUP("industry|PM25|Asthma symptoms wheeze", US_national_yearly!$D:$AM, 20, FALSE) / VLOOKUP("industry|PM25|Asthma symptoms wheeze", US_national_yearly!$D:$AM, 10, FALSE), 1)</f>
        <v>0.14964135405719281</v>
      </c>
      <c r="M8" s="7">
        <f>$B8 * IFERROR(VLOOKUP("industry|PM25|Asthma symptoms wheeze", US_national_yearly!$D:$AM, 21, FALSE) / VLOOKUP("industry|PM25|Asthma symptoms wheeze", US_national_yearly!$D:$AM, 10, FALSE), 1)</f>
        <v>0.14964135405719281</v>
      </c>
      <c r="N8" s="7">
        <f>$B8 * IFERROR(VLOOKUP("industry|PM25|Asthma symptoms wheeze", US_national_yearly!$D:$AM, 22, FALSE) / VLOOKUP("industry|PM25|Asthma symptoms wheeze", US_national_yearly!$D:$AM, 10, FALSE), 1)</f>
        <v>0.14964135405719281</v>
      </c>
      <c r="O8" s="7">
        <f>$B8 * IFERROR(VLOOKUP("industry|PM25|Asthma symptoms wheeze", US_national_yearly!$D:$AM, 23, FALSE) / VLOOKUP("industry|PM25|Asthma symptoms wheeze", US_national_yearly!$D:$AM, 10, FALSE), 1)</f>
        <v>0.14964135405719281</v>
      </c>
      <c r="P8" s="7">
        <f>$B8 * IFERROR(VLOOKUP("industry|PM25|Asthma symptoms wheeze", US_national_yearly!$D:$AM, 24, FALSE) / VLOOKUP("industry|PM25|Asthma symptoms wheeze", US_national_yearly!$D:$AM, 10, FALSE), 1)</f>
        <v>0.14964135405719281</v>
      </c>
      <c r="Q8" s="7">
        <f>$B8 * IFERROR(VLOOKUP("industry|PM25|Asthma symptoms wheeze", US_national_yearly!$D:$AM, 25, FALSE) / VLOOKUP("industry|PM25|Asthma symptoms wheeze", US_national_yearly!$D:$AM, 10, FALSE), 1)</f>
        <v>0.14964135405719281</v>
      </c>
      <c r="R8" s="7">
        <f>$B8 * IFERROR(VLOOKUP("industry|PM25|Asthma symptoms wheeze", US_national_yearly!$D:$AM, 26, FALSE) / VLOOKUP("industry|PM25|Asthma symptoms wheeze", US_national_yearly!$D:$AM, 10, FALSE), 1)</f>
        <v>0.14964135405719281</v>
      </c>
      <c r="S8" s="7">
        <f>$B8 * IFERROR(VLOOKUP("industry|PM25|Asthma symptoms wheeze", US_national_yearly!$D:$AM, 27, FALSE) / VLOOKUP("industry|PM25|Asthma symptoms wheeze", US_national_yearly!$D:$AM, 10, FALSE), 1)</f>
        <v>0.14964135405719281</v>
      </c>
      <c r="T8" s="7">
        <f>$B8 * IFERROR(VLOOKUP("industry|PM25|Asthma symptoms wheeze", US_national_yearly!$D:$AM, 28, FALSE) / VLOOKUP("industry|PM25|Asthma symptoms wheeze", US_national_yearly!$D:$AM, 10, FALSE), 1)</f>
        <v>0.14964135405719281</v>
      </c>
      <c r="U8" s="7">
        <f>$B8 * IFERROR(VLOOKUP("industry|PM25|Asthma symptoms wheeze", US_national_yearly!$D:$AM, 29, FALSE) / VLOOKUP("industry|PM25|Asthma symptoms wheeze", US_national_yearly!$D:$AM, 10, FALSE), 1)</f>
        <v>0.14964135405719281</v>
      </c>
      <c r="V8" s="7">
        <f>$B8 * IFERROR(VLOOKUP("industry|PM25|Asthma symptoms wheeze", US_national_yearly!$D:$AM, 30, FALSE) / VLOOKUP("industry|PM25|Asthma symptoms wheeze", US_national_yearly!$D:$AM, 10, FALSE), 1)</f>
        <v>0.14964135405719281</v>
      </c>
      <c r="W8" s="7">
        <f>$B8 * IFERROR(VLOOKUP("industry|PM25|Asthma symptoms wheeze", US_national_yearly!$D:$AM, 31, FALSE) / VLOOKUP("industry|PM25|Asthma symptoms wheeze", US_national_yearly!$D:$AM, 10, FALSE), 1)</f>
        <v>0.14964135405719281</v>
      </c>
      <c r="X8" s="7">
        <f>$B8 * IFERROR(VLOOKUP("industry|PM25|Asthma symptoms wheeze", US_national_yearly!$D:$AM, 32, FALSE) / VLOOKUP("industry|PM25|Asthma symptoms wheeze", US_national_yearly!$D:$AM, 10, FALSE), 1)</f>
        <v>0.14964135405719281</v>
      </c>
      <c r="Y8" s="7">
        <f>$B8 * IFERROR(VLOOKUP("industry|PM25|Asthma symptoms wheeze", US_national_yearly!$D:$AM, 33, FALSE) / VLOOKUP("industry|PM25|Asthma symptoms wheeze", US_national_yearly!$D:$AM, 10, FALSE), 1)</f>
        <v>0.14964135405719281</v>
      </c>
      <c r="Z8" s="7">
        <f>$B8 * IFERROR(VLOOKUP("industry|PM25|Asthma symptoms wheeze", US_national_yearly!$D:$AM, 34, FALSE) / VLOOKUP("industry|PM25|Asthma symptoms wheeze", US_national_yearly!$D:$AM, 10, FALSE), 1)</f>
        <v>0.14964135405719281</v>
      </c>
      <c r="AA8" s="7">
        <f>$B8 * IFERROR(VLOOKUP("industry|PM25|Asthma symptoms wheeze", US_national_yearly!$D:$AM, 35, FALSE) / VLOOKUP("industry|PM25|Asthma symptoms wheeze", US_national_yearly!$D:$AM, 10, FALSE), 1)</f>
        <v>0.14964135405719281</v>
      </c>
      <c r="AB8" s="7">
        <f>$B8 * IFERROR(VLOOKUP("industry|PM25|Asthma symptoms wheeze", US_national_yearly!$D:$AM, 36, FALSE) / VLOOKUP("industry|PM25|Asthma symptoms wheeze", US_national_yearly!$D:$AM, 10, FALSE), 1)</f>
        <v>0.14964135405719281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2.3706917791924608E-3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2.3841515326836946E-3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2.3976112861749284E-3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2.4110710396661622E-3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2.4245307931573964E-3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2.4390833254838689E-3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2.4536358578103419E-3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2.4674407655244316E-3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2.4812456732385218E-3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2.4950505809526111E-3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2.5088554886667012E-3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2.5226603963807914E-3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2.5324242208986407E-3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2.5421880454164899E-3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2.5519518699343392E-3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2.5617156944521885E-3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2.5714795189700377E-3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2.5806885317093829E-3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2.5898975444487281E-3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2.5991065571880738E-3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2.6083155699274186E-3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2.6175245826667642E-3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2.6263915230709855E-3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2.6352584634752067E-3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2.6441254038794284E-3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2.6529923442836501E-3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2.6618592846878713E-3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1.3843354909200261E-2</v>
      </c>
      <c r="C13" s="7">
        <f>$B13 * IFERROR(VLOOKUP("industry|PM25|Non-fatal heart attacks", US_national_yearly!$D:$AM, 11, FALSE) / VLOOKUP("industry|PM25|Non-fatal heart attacks", US_national_yearly!$D:$AM, 10, FALSE), 1)</f>
        <v>1.4246338600416584E-2</v>
      </c>
      <c r="D13" s="7">
        <f>$B13 * IFERROR(VLOOKUP("industry|PM25|Non-fatal heart attacks", US_national_yearly!$D:$AM, 12, FALSE) / VLOOKUP("industry|PM25|Non-fatal heart attacks", US_national_yearly!$D:$AM, 10, FALSE), 1)</f>
        <v>1.4649322291632903E-2</v>
      </c>
      <c r="E13" s="7">
        <f>$B13 * IFERROR(VLOOKUP("industry|PM25|Non-fatal heart attacks", US_national_yearly!$D:$AM, 13, FALSE) / VLOOKUP("industry|PM25|Non-fatal heart attacks", US_national_yearly!$D:$AM, 10, FALSE), 1)</f>
        <v>1.5052305982849226E-2</v>
      </c>
      <c r="F13" s="7">
        <f>$B13 * IFERROR(VLOOKUP("industry|PM25|Non-fatal heart attacks", US_national_yearly!$D:$AM, 14, FALSE) / VLOOKUP("industry|PM25|Non-fatal heart attacks", US_national_yearly!$D:$AM, 10, FALSE), 1)</f>
        <v>1.5455289674065549E-2</v>
      </c>
      <c r="G13" s="7">
        <f>$B13 * IFERROR(VLOOKUP("industry|PM25|Non-fatal heart attacks", US_national_yearly!$D:$AM, 15, FALSE) / VLOOKUP("industry|PM25|Non-fatal heart attacks", US_national_yearly!$D:$AM, 10, FALSE), 1)</f>
        <v>1.5835734613658035E-2</v>
      </c>
      <c r="H13" s="7">
        <f>$B13 * IFERROR(VLOOKUP("industry|PM25|Non-fatal heart attacks", US_national_yearly!$D:$AM, 16, FALSE) / VLOOKUP("industry|PM25|Non-fatal heart attacks", US_national_yearly!$D:$AM, 10, FALSE), 1)</f>
        <v>1.6216179553250526E-2</v>
      </c>
      <c r="I13" s="7">
        <f>$B13 * IFERROR(VLOOKUP("industry|PM25|Non-fatal heart attacks", US_national_yearly!$D:$AM, 17, FALSE) / VLOOKUP("industry|PM25|Non-fatal heart attacks", US_national_yearly!$D:$AM, 10, FALSE), 1)</f>
        <v>1.6523392355468878E-2</v>
      </c>
      <c r="J13" s="7">
        <f>$B13 * IFERROR(VLOOKUP("industry|PM25|Non-fatal heart attacks", US_national_yearly!$D:$AM, 18, FALSE) / VLOOKUP("industry|PM25|Non-fatal heart attacks", US_national_yearly!$D:$AM, 10, FALSE), 1)</f>
        <v>1.6830605157687226E-2</v>
      </c>
      <c r="K13" s="7">
        <f>$B13 * IFERROR(VLOOKUP("industry|PM25|Non-fatal heart attacks", US_national_yearly!$D:$AM, 19, FALSE) / VLOOKUP("industry|PM25|Non-fatal heart attacks", US_national_yearly!$D:$AM, 10, FALSE), 1)</f>
        <v>1.7137817959905575E-2</v>
      </c>
      <c r="L13" s="7">
        <f>$B13 * IFERROR(VLOOKUP("industry|PM25|Non-fatal heart attacks", US_national_yearly!$D:$AM, 20, FALSE) / VLOOKUP("industry|PM25|Non-fatal heart attacks", US_national_yearly!$D:$AM, 10, FALSE), 1)</f>
        <v>1.7445030762123923E-2</v>
      </c>
      <c r="M13" s="7">
        <f>$B13 * IFERROR(VLOOKUP("industry|PM25|Non-fatal heart attacks", US_national_yearly!$D:$AM, 21, FALSE) / VLOOKUP("industry|PM25|Non-fatal heart attacks", US_national_yearly!$D:$AM, 10, FALSE), 1)</f>
        <v>1.7752243564342272E-2</v>
      </c>
      <c r="N13" s="7">
        <f>$B13 * IFERROR(VLOOKUP("industry|PM25|Non-fatal heart attacks", US_national_yearly!$D:$AM, 22, FALSE) / VLOOKUP("industry|PM25|Non-fatal heart attacks", US_national_yearly!$D:$AM, 10, FALSE), 1)</f>
        <v>1.7950873749941882E-2</v>
      </c>
      <c r="O13" s="7">
        <f>$B13 * IFERROR(VLOOKUP("industry|PM25|Non-fatal heart attacks", US_national_yearly!$D:$AM, 23, FALSE) / VLOOKUP("industry|PM25|Non-fatal heart attacks", US_national_yearly!$D:$AM, 10, FALSE), 1)</f>
        <v>1.8149503935541492E-2</v>
      </c>
      <c r="P13" s="7">
        <f>$B13 * IFERROR(VLOOKUP("industry|PM25|Non-fatal heart attacks", US_national_yearly!$D:$AM, 24, FALSE) / VLOOKUP("industry|PM25|Non-fatal heart attacks", US_national_yearly!$D:$AM, 10, FALSE), 1)</f>
        <v>1.8348134121141099E-2</v>
      </c>
      <c r="Q13" s="7">
        <f>$B13 * IFERROR(VLOOKUP("industry|PM25|Non-fatal heart attacks", US_national_yearly!$D:$AM, 25, FALSE) / VLOOKUP("industry|PM25|Non-fatal heart attacks", US_national_yearly!$D:$AM, 10, FALSE), 1)</f>
        <v>1.8546764306740706E-2</v>
      </c>
      <c r="R13" s="7">
        <f>$B13 * IFERROR(VLOOKUP("industry|PM25|Non-fatal heart attacks", US_national_yearly!$D:$AM, 26, FALSE) / VLOOKUP("industry|PM25|Non-fatal heart attacks", US_national_yearly!$D:$AM, 10, FALSE), 1)</f>
        <v>1.8745394492340316E-2</v>
      </c>
      <c r="S13" s="7">
        <f>$B13 * IFERROR(VLOOKUP("industry|PM25|Non-fatal heart attacks", US_national_yearly!$D:$AM, 27, FALSE) / VLOOKUP("industry|PM25|Non-fatal heart attacks", US_national_yearly!$D:$AM, 10, FALSE), 1)</f>
        <v>1.8851483627207805E-2</v>
      </c>
      <c r="T13" s="7">
        <f>$B13 * IFERROR(VLOOKUP("industry|PM25|Non-fatal heart attacks", US_national_yearly!$D:$AM, 28, FALSE) / VLOOKUP("industry|PM25|Non-fatal heart attacks", US_national_yearly!$D:$AM, 10, FALSE), 1)</f>
        <v>1.8957572762075301E-2</v>
      </c>
      <c r="U13" s="7">
        <f>$B13 * IFERROR(VLOOKUP("industry|PM25|Non-fatal heart attacks", US_national_yearly!$D:$AM, 29, FALSE) / VLOOKUP("industry|PM25|Non-fatal heart attacks", US_national_yearly!$D:$AM, 10, FALSE), 1)</f>
        <v>1.9063661896942793E-2</v>
      </c>
      <c r="V13" s="7">
        <f>$B13 * IFERROR(VLOOKUP("industry|PM25|Non-fatal heart attacks", US_national_yearly!$D:$AM, 30, FALSE) / VLOOKUP("industry|PM25|Non-fatal heart attacks", US_national_yearly!$D:$AM, 10, FALSE), 1)</f>
        <v>1.9169751031810282E-2</v>
      </c>
      <c r="W13" s="7">
        <f>$B13 * IFERROR(VLOOKUP("industry|PM25|Non-fatal heart attacks", US_national_yearly!$D:$AM, 31, FALSE) / VLOOKUP("industry|PM25|Non-fatal heart attacks", US_national_yearly!$D:$AM, 10, FALSE), 1)</f>
        <v>1.9275840166677775E-2</v>
      </c>
      <c r="X13" s="7">
        <f>$B13 * IFERROR(VLOOKUP("industry|PM25|Non-fatal heart attacks", US_national_yearly!$D:$AM, 32, FALSE) / VLOOKUP("industry|PM25|Non-fatal heart attacks", US_national_yearly!$D:$AM, 10, FALSE), 1)</f>
        <v>1.9357719076355293E-2</v>
      </c>
      <c r="Y13" s="7">
        <f>$B13 * IFERROR(VLOOKUP("industry|PM25|Non-fatal heart attacks", US_national_yearly!$D:$AM, 33, FALSE) / VLOOKUP("industry|PM25|Non-fatal heart attacks", US_national_yearly!$D:$AM, 10, FALSE), 1)</f>
        <v>1.9439597986032807E-2</v>
      </c>
      <c r="Z13" s="7">
        <f>$B13 * IFERROR(VLOOKUP("industry|PM25|Non-fatal heart attacks", US_national_yearly!$D:$AM, 34, FALSE) / VLOOKUP("industry|PM25|Non-fatal heart attacks", US_national_yearly!$D:$AM, 10, FALSE), 1)</f>
        <v>1.9521476895710325E-2</v>
      </c>
      <c r="AA13" s="7">
        <f>$B13 * IFERROR(VLOOKUP("industry|PM25|Non-fatal heart attacks", US_national_yearly!$D:$AM, 35, FALSE) / VLOOKUP("industry|PM25|Non-fatal heart attacks", US_national_yearly!$D:$AM, 10, FALSE), 1)</f>
        <v>1.9603355805387843E-2</v>
      </c>
      <c r="AB13" s="7">
        <f>$B13 * IFERROR(VLOOKUP("industry|PM25|Non-fatal heart attacks", US_national_yearly!$D:$AM, 36, FALSE) / VLOOKUP("industry|PM25|Non-fatal heart attacks", US_national_yearly!$D:$AM, 10, FALSE), 1)</f>
        <v>1.968523471506536E-2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8.8941615205596491</v>
      </c>
      <c r="C14" s="7">
        <f>$B14 * IFERROR(VLOOKUP("industry|PM25|Minor restricted activity days", US_national_yearly!$D:$AM, 11, FALSE) / VLOOKUP("industry|PM25|Minor restricted activity days", US_national_yearly!$D:$AM, 10, FALSE), 1)</f>
        <v>8.9159447963822043</v>
      </c>
      <c r="D14" s="7">
        <f>$B14 * IFERROR(VLOOKUP("industry|PM25|Minor restricted activity days", US_national_yearly!$D:$AM, 12, FALSE) / VLOOKUP("industry|PM25|Minor restricted activity days", US_national_yearly!$D:$AM, 10, FALSE), 1)</f>
        <v>8.937728072204763</v>
      </c>
      <c r="E14" s="7">
        <f>$B14 * IFERROR(VLOOKUP("industry|PM25|Minor restricted activity days", US_national_yearly!$D:$AM, 13, FALSE) / VLOOKUP("industry|PM25|Minor restricted activity days", US_national_yearly!$D:$AM, 10, FALSE), 1)</f>
        <v>8.9595113480273181</v>
      </c>
      <c r="F14" s="7">
        <f>$B14 * IFERROR(VLOOKUP("industry|PM25|Minor restricted activity days", US_national_yearly!$D:$AM, 14, FALSE) / VLOOKUP("industry|PM25|Minor restricted activity days", US_national_yearly!$D:$AM, 10, FALSE), 1)</f>
        <v>8.981294623849875</v>
      </c>
      <c r="G14" s="7">
        <f>$B14 * IFERROR(VLOOKUP("industry|PM25|Minor restricted activity days", US_national_yearly!$D:$AM, 15, FALSE) / VLOOKUP("industry|PM25|Minor restricted activity days", US_national_yearly!$D:$AM, 10, FALSE), 1)</f>
        <v>9.0132689323505648</v>
      </c>
      <c r="H14" s="7">
        <f>$B14 * IFERROR(VLOOKUP("industry|PM25|Minor restricted activity days", US_national_yearly!$D:$AM, 16, FALSE) / VLOOKUP("industry|PM25|Minor restricted activity days", US_national_yearly!$D:$AM, 10, FALSE), 1)</f>
        <v>9.0452432408512529</v>
      </c>
      <c r="I14" s="7">
        <f>$B14 * IFERROR(VLOOKUP("industry|PM25|Minor restricted activity days", US_national_yearly!$D:$AM, 17, FALSE) / VLOOKUP("industry|PM25|Minor restricted activity days", US_national_yearly!$D:$AM, 10, FALSE), 1)</f>
        <v>9.0995593695227246</v>
      </c>
      <c r="J14" s="7">
        <f>$B14 * IFERROR(VLOOKUP("industry|PM25|Minor restricted activity days", US_national_yearly!$D:$AM, 18, FALSE) / VLOOKUP("industry|PM25|Minor restricted activity days", US_national_yearly!$D:$AM, 10, FALSE), 1)</f>
        <v>9.1538754981941981</v>
      </c>
      <c r="K14" s="7">
        <f>$B14 * IFERROR(VLOOKUP("industry|PM25|Minor restricted activity days", US_national_yearly!$D:$AM, 19, FALSE) / VLOOKUP("industry|PM25|Minor restricted activity days", US_national_yearly!$D:$AM, 10, FALSE), 1)</f>
        <v>9.2081916268656681</v>
      </c>
      <c r="L14" s="7">
        <f>$B14 * IFERROR(VLOOKUP("industry|PM25|Minor restricted activity days", US_national_yearly!$D:$AM, 20, FALSE) / VLOOKUP("industry|PM25|Minor restricted activity days", US_national_yearly!$D:$AM, 10, FALSE), 1)</f>
        <v>9.2625077555371398</v>
      </c>
      <c r="M14" s="7">
        <f>$B14 * IFERROR(VLOOKUP("industry|PM25|Minor restricted activity days", US_national_yearly!$D:$AM, 21, FALSE) / VLOOKUP("industry|PM25|Minor restricted activity days", US_national_yearly!$D:$AM, 10, FALSE), 1)</f>
        <v>9.3168238842086115</v>
      </c>
      <c r="N14" s="7">
        <f>$B14 * IFERROR(VLOOKUP("industry|PM25|Minor restricted activity days", US_national_yearly!$D:$AM, 22, FALSE) / VLOOKUP("industry|PM25|Minor restricted activity days", US_national_yearly!$D:$AM, 10, FALSE), 1)</f>
        <v>9.3910250791989096</v>
      </c>
      <c r="O14" s="7">
        <f>$B14 * IFERROR(VLOOKUP("industry|PM25|Minor restricted activity days", US_national_yearly!$D:$AM, 23, FALSE) / VLOOKUP("industry|PM25|Minor restricted activity days", US_national_yearly!$D:$AM, 10, FALSE), 1)</f>
        <v>9.4652262741892166</v>
      </c>
      <c r="P14" s="7">
        <f>$B14 * IFERROR(VLOOKUP("industry|PM25|Minor restricted activity days", US_national_yearly!$D:$AM, 24, FALSE) / VLOOKUP("industry|PM25|Minor restricted activity days", US_national_yearly!$D:$AM, 10, FALSE), 1)</f>
        <v>9.5394274691795147</v>
      </c>
      <c r="Q14" s="7">
        <f>$B14 * IFERROR(VLOOKUP("industry|PM25|Minor restricted activity days", US_national_yearly!$D:$AM, 25, FALSE) / VLOOKUP("industry|PM25|Minor restricted activity days", US_national_yearly!$D:$AM, 10, FALSE), 1)</f>
        <v>9.6136286641698234</v>
      </c>
      <c r="R14" s="7">
        <f>$B14 * IFERROR(VLOOKUP("industry|PM25|Minor restricted activity days", US_national_yearly!$D:$AM, 26, FALSE) / VLOOKUP("industry|PM25|Minor restricted activity days", US_national_yearly!$D:$AM, 10, FALSE), 1)</f>
        <v>9.6878298591601233</v>
      </c>
      <c r="S14" s="7">
        <f>$B14 * IFERROR(VLOOKUP("industry|PM25|Minor restricted activity days", US_national_yearly!$D:$AM, 27, FALSE) / VLOOKUP("industry|PM25|Minor restricted activity days", US_national_yearly!$D:$AM, 10, FALSE), 1)</f>
        <v>9.7627434146421948</v>
      </c>
      <c r="T14" s="7">
        <f>$B14 * IFERROR(VLOOKUP("industry|PM25|Minor restricted activity days", US_national_yearly!$D:$AM, 28, FALSE) / VLOOKUP("industry|PM25|Minor restricted activity days", US_national_yearly!$D:$AM, 10, FALSE), 1)</f>
        <v>9.8376569701242698</v>
      </c>
      <c r="U14" s="7">
        <f>$B14 * IFERROR(VLOOKUP("industry|PM25|Minor restricted activity days", US_national_yearly!$D:$AM, 29, FALSE) / VLOOKUP("industry|PM25|Minor restricted activity days", US_national_yearly!$D:$AM, 10, FALSE), 1)</f>
        <v>9.912570525606343</v>
      </c>
      <c r="V14" s="7">
        <f>$B14 * IFERROR(VLOOKUP("industry|PM25|Minor restricted activity days", US_national_yearly!$D:$AM, 30, FALSE) / VLOOKUP("industry|PM25|Minor restricted activity days", US_national_yearly!$D:$AM, 10, FALSE), 1)</f>
        <v>9.9874840810884145</v>
      </c>
      <c r="W14" s="7">
        <f>$B14 * IFERROR(VLOOKUP("industry|PM25|Minor restricted activity days", US_national_yearly!$D:$AM, 31, FALSE) / VLOOKUP("industry|PM25|Minor restricted activity days", US_national_yearly!$D:$AM, 10, FALSE), 1)</f>
        <v>10.062397636570489</v>
      </c>
      <c r="X14" s="7">
        <f>$B14 * IFERROR(VLOOKUP("industry|PM25|Minor restricted activity days", US_national_yearly!$D:$AM, 32, FALSE) / VLOOKUP("industry|PM25|Minor restricted activity days", US_national_yearly!$D:$AM, 10, FALSE), 1)</f>
        <v>10.127494772726825</v>
      </c>
      <c r="Y14" s="7">
        <f>$B14 * IFERROR(VLOOKUP("industry|PM25|Minor restricted activity days", US_national_yearly!$D:$AM, 33, FALSE) / VLOOKUP("industry|PM25|Minor restricted activity days", US_national_yearly!$D:$AM, 10, FALSE), 1)</f>
        <v>10.192591908883161</v>
      </c>
      <c r="Z14" s="7">
        <f>$B14 * IFERROR(VLOOKUP("industry|PM25|Minor restricted activity days", US_national_yearly!$D:$AM, 34, FALSE) / VLOOKUP("industry|PM25|Minor restricted activity days", US_national_yearly!$D:$AM, 10, FALSE), 1)</f>
        <v>10.257689045039498</v>
      </c>
      <c r="AA14" s="7">
        <f>$B14 * IFERROR(VLOOKUP("industry|PM25|Minor restricted activity days", US_national_yearly!$D:$AM, 35, FALSE) / VLOOKUP("industry|PM25|Minor restricted activity days", US_national_yearly!$D:$AM, 10, FALSE), 1)</f>
        <v>10.322786181195836</v>
      </c>
      <c r="AB14" s="7">
        <f>$B14 * IFERROR(VLOOKUP("industry|PM25|Minor restricted activity days", US_national_yearly!$D:$AM, 36, FALSE) / VLOOKUP("industry|PM25|Minor restricted activity days", US_national_yearly!$D:$AM, 10, FALSE), 1)</f>
        <v>10.387883317352172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1.5032257464163137</v>
      </c>
      <c r="C15" s="7">
        <f>$B15 * IFERROR(VLOOKUP("industry|PM25|Work loss days", US_national_yearly!$D:$AM, 11, FALSE) / VLOOKUP("industry|PM25|Work loss days", US_national_yearly!$D:$AM, 10, FALSE), 1)</f>
        <v>1.5078863497746136</v>
      </c>
      <c r="D15" s="7">
        <f>$B15 * IFERROR(VLOOKUP("industry|PM25|Work loss days", US_national_yearly!$D:$AM, 12, FALSE) / VLOOKUP("industry|PM25|Work loss days", US_national_yearly!$D:$AM, 10, FALSE), 1)</f>
        <v>1.5125469531329132</v>
      </c>
      <c r="E15" s="7">
        <f>$B15 * IFERROR(VLOOKUP("industry|PM25|Work loss days", US_national_yearly!$D:$AM, 13, FALSE) / VLOOKUP("industry|PM25|Work loss days", US_national_yearly!$D:$AM, 10, FALSE), 1)</f>
        <v>1.5172075564912129</v>
      </c>
      <c r="F15" s="7">
        <f>$B15 * IFERROR(VLOOKUP("industry|PM25|Work loss days", US_national_yearly!$D:$AM, 14, FALSE) / VLOOKUP("industry|PM25|Work loss days", US_national_yearly!$D:$AM, 10, FALSE), 1)</f>
        <v>1.5218681598495125</v>
      </c>
      <c r="G15" s="7">
        <f>$B15 * IFERROR(VLOOKUP("industry|PM25|Work loss days", US_national_yearly!$D:$AM, 15, FALSE) / VLOOKUP("industry|PM25|Work loss days", US_national_yearly!$D:$AM, 10, FALSE), 1)</f>
        <v>1.5279527815975538</v>
      </c>
      <c r="H15" s="7">
        <f>$B15 * IFERROR(VLOOKUP("industry|PM25|Work loss days", US_national_yearly!$D:$AM, 16, FALSE) / VLOOKUP("industry|PM25|Work loss days", US_national_yearly!$D:$AM, 10, FALSE), 1)</f>
        <v>1.534037403345595</v>
      </c>
      <c r="I15" s="7">
        <f>$B15 * IFERROR(VLOOKUP("industry|PM25|Work loss days", US_national_yearly!$D:$AM, 17, FALSE) / VLOOKUP("industry|PM25|Work loss days", US_national_yearly!$D:$AM, 10, FALSE), 1)</f>
        <v>1.5429472260996713</v>
      </c>
      <c r="J15" s="7">
        <f>$B15 * IFERROR(VLOOKUP("industry|PM25|Work loss days", US_national_yearly!$D:$AM, 18, FALSE) / VLOOKUP("industry|PM25|Work loss days", US_national_yearly!$D:$AM, 10, FALSE), 1)</f>
        <v>1.5518570488537475</v>
      </c>
      <c r="K15" s="7">
        <f>$B15 * IFERROR(VLOOKUP("industry|PM25|Work loss days", US_national_yearly!$D:$AM, 19, FALSE) / VLOOKUP("industry|PM25|Work loss days", US_national_yearly!$D:$AM, 10, FALSE), 1)</f>
        <v>1.5607668716078233</v>
      </c>
      <c r="L15" s="7">
        <f>$B15 * IFERROR(VLOOKUP("industry|PM25|Work loss days", US_national_yearly!$D:$AM, 20, FALSE) / VLOOKUP("industry|PM25|Work loss days", US_national_yearly!$D:$AM, 10, FALSE), 1)</f>
        <v>1.5696766943618996</v>
      </c>
      <c r="M15" s="7">
        <f>$B15 * IFERROR(VLOOKUP("industry|PM25|Work loss days", US_national_yearly!$D:$AM, 21, FALSE) / VLOOKUP("industry|PM25|Work loss days", US_national_yearly!$D:$AM, 10, FALSE), 1)</f>
        <v>1.5785865171159759</v>
      </c>
      <c r="N15" s="7">
        <f>$B15 * IFERROR(VLOOKUP("industry|PM25|Work loss days", US_national_yearly!$D:$AM, 22, FALSE) / VLOOKUP("industry|PM25|Work loss days", US_national_yearly!$D:$AM, 10, FALSE), 1)</f>
        <v>1.5898295439471199</v>
      </c>
      <c r="O15" s="7">
        <f>$B15 * IFERROR(VLOOKUP("industry|PM25|Work loss days", US_national_yearly!$D:$AM, 23, FALSE) / VLOOKUP("industry|PM25|Work loss days", US_national_yearly!$D:$AM, 10, FALSE), 1)</f>
        <v>1.6010725707782638</v>
      </c>
      <c r="P15" s="7">
        <f>$B15 * IFERROR(VLOOKUP("industry|PM25|Work loss days", US_national_yearly!$D:$AM, 24, FALSE) / VLOOKUP("industry|PM25|Work loss days", US_national_yearly!$D:$AM, 10, FALSE), 1)</f>
        <v>1.6123155976094075</v>
      </c>
      <c r="Q15" s="7">
        <f>$B15 * IFERROR(VLOOKUP("industry|PM25|Work loss days", US_national_yearly!$D:$AM, 25, FALSE) / VLOOKUP("industry|PM25|Work loss days", US_national_yearly!$D:$AM, 10, FALSE), 1)</f>
        <v>1.6235586244405513</v>
      </c>
      <c r="R15" s="7">
        <f>$B15 * IFERROR(VLOOKUP("industry|PM25|Work loss days", US_national_yearly!$D:$AM, 26, FALSE) / VLOOKUP("industry|PM25|Work loss days", US_national_yearly!$D:$AM, 10, FALSE), 1)</f>
        <v>1.634801651271695</v>
      </c>
      <c r="S15" s="7">
        <f>$B15 * IFERROR(VLOOKUP("industry|PM25|Work loss days", US_national_yearly!$D:$AM, 27, FALSE) / VLOOKUP("industry|PM25|Work loss days", US_national_yearly!$D:$AM, 10, FALSE), 1)</f>
        <v>1.6472685741206601</v>
      </c>
      <c r="T15" s="7">
        <f>$B15 * IFERROR(VLOOKUP("industry|PM25|Work loss days", US_national_yearly!$D:$AM, 28, FALSE) / VLOOKUP("industry|PM25|Work loss days", US_national_yearly!$D:$AM, 10, FALSE), 1)</f>
        <v>1.659735496969625</v>
      </c>
      <c r="U15" s="7">
        <f>$B15 * IFERROR(VLOOKUP("industry|PM25|Work loss days", US_national_yearly!$D:$AM, 29, FALSE) / VLOOKUP("industry|PM25|Work loss days", US_national_yearly!$D:$AM, 10, FALSE), 1)</f>
        <v>1.6722024198185899</v>
      </c>
      <c r="V15" s="7">
        <f>$B15 * IFERROR(VLOOKUP("industry|PM25|Work loss days", US_national_yearly!$D:$AM, 30, FALSE) / VLOOKUP("industry|PM25|Work loss days", US_national_yearly!$D:$AM, 10, FALSE), 1)</f>
        <v>1.6846693426675547</v>
      </c>
      <c r="W15" s="7">
        <f>$B15 * IFERROR(VLOOKUP("industry|PM25|Work loss days", US_national_yearly!$D:$AM, 31, FALSE) / VLOOKUP("industry|PM25|Work loss days", US_national_yearly!$D:$AM, 10, FALSE), 1)</f>
        <v>1.6971362655165199</v>
      </c>
      <c r="X15" s="7">
        <f>$B15 * IFERROR(VLOOKUP("industry|PM25|Work loss days", US_national_yearly!$D:$AM, 32, FALSE) / VLOOKUP("industry|PM25|Work loss days", US_national_yearly!$D:$AM, 10, FALSE), 1)</f>
        <v>1.7082147657439921</v>
      </c>
      <c r="Y15" s="7">
        <f>$B15 * IFERROR(VLOOKUP("industry|PM25|Work loss days", US_national_yearly!$D:$AM, 33, FALSE) / VLOOKUP("industry|PM25|Work loss days", US_national_yearly!$D:$AM, 10, FALSE), 1)</f>
        <v>1.7192932659714646</v>
      </c>
      <c r="Z15" s="7">
        <f>$B15 * IFERROR(VLOOKUP("industry|PM25|Work loss days", US_national_yearly!$D:$AM, 34, FALSE) / VLOOKUP("industry|PM25|Work loss days", US_national_yearly!$D:$AM, 10, FALSE), 1)</f>
        <v>1.7303717661989371</v>
      </c>
      <c r="AA15" s="7">
        <f>$B15 * IFERROR(VLOOKUP("industry|PM25|Work loss days", US_national_yearly!$D:$AM, 35, FALSE) / VLOOKUP("industry|PM25|Work loss days", US_national_yearly!$D:$AM, 10, FALSE), 1)</f>
        <v>1.7414502664264091</v>
      </c>
      <c r="AB15" s="7">
        <f>$B15 * IFERROR(VLOOKUP("industry|PM25|Work loss days", US_national_yearly!$D:$AM, 36, FALSE) / VLOOKUP("industry|PM25|Work loss days", US_national_yearly!$D:$AM, 10, FALSE), 1)</f>
        <v>1.7525287666538816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3.4836198890669089E-3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3.5878171933690583E-3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3.6920144976712076E-3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3.7962118019733565E-3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3.9004091062755054E-3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4.0002747120414291E-3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4.100140317807352E-3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4.1858836920181499E-3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4.2716270662289469E-3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4.3573704404397456E-3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4.4431138146505435E-3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4.5288571888613413E-3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4.5861340860993485E-3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4.6434109833373548E-3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4.7006878805753612E-3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4.7579647778133675E-3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4.8152416750513738E-3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4.8459292475957812E-3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4.8766168201401878E-3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4.9073043926845953E-3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4.9379919652290018E-3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4.9686795377734084E-3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4.9897525267714338E-3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5.0108255157694567E-3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5.0318985047674812E-3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5.0529714937655049E-3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5.0740444827635286E-3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1.3252247904961111E-3</v>
      </c>
      <c r="C2" s="7">
        <f>$B2 * IFERROR(VLOOKUP("industry|NOx|Premature mortality", US_national_yearly!$D:$AM, 11, FALSE) / VLOOKUP("industry|NOx|Premature mortality", US_national_yearly!$D:$AM, 10, FALSE), 1)</f>
        <v>1.344820541630193E-3</v>
      </c>
      <c r="D2" s="7">
        <f>$B2 * IFERROR(VLOOKUP("industry|NOx|Premature mortality", US_national_yearly!$D:$AM, 12, FALSE) / VLOOKUP("industry|NOx|Premature mortality", US_national_yearly!$D:$AM, 10, FALSE), 1)</f>
        <v>1.3644162927642751E-3</v>
      </c>
      <c r="E2" s="7">
        <f>$B2 * IFERROR(VLOOKUP("industry|NOx|Premature mortality", US_national_yearly!$D:$AM, 13, FALSE) / VLOOKUP("industry|NOx|Premature mortality", US_national_yearly!$D:$AM, 10, FALSE), 1)</f>
        <v>1.3840120438983567E-3</v>
      </c>
      <c r="F2" s="7">
        <f>$B2 * IFERROR(VLOOKUP("industry|NOx|Premature mortality", US_national_yearly!$D:$AM, 14, FALSE) / VLOOKUP("industry|NOx|Premature mortality", US_national_yearly!$D:$AM, 10, FALSE), 1)</f>
        <v>1.4036077950324388E-3</v>
      </c>
      <c r="G2" s="7">
        <f>$B2 * IFERROR(VLOOKUP("industry|NOx|Premature mortality", US_national_yearly!$D:$AM, 15, FALSE) / VLOOKUP("industry|NOx|Premature mortality", US_national_yearly!$D:$AM, 10, FALSE), 1)</f>
        <v>1.4387503150815443E-3</v>
      </c>
      <c r="H2" s="7">
        <f>$B2 * IFERROR(VLOOKUP("industry|NOx|Premature mortality", US_national_yearly!$D:$AM, 16, FALSE) / VLOOKUP("industry|NOx|Premature mortality", US_national_yearly!$D:$AM, 10, FALSE), 1)</f>
        <v>1.4738928351306496E-3</v>
      </c>
      <c r="I2" s="7">
        <f>$B2 * IFERROR(VLOOKUP("industry|NOx|Premature mortality", US_national_yearly!$D:$AM, 17, FALSE) / VLOOKUP("industry|NOx|Premature mortality", US_national_yearly!$D:$AM, 10, FALSE), 1)</f>
        <v>1.4966909703788102E-3</v>
      </c>
      <c r="J2" s="7">
        <f>$B2 * IFERROR(VLOOKUP("industry|NOx|Premature mortality", US_national_yearly!$D:$AM, 18, FALSE) / VLOOKUP("industry|NOx|Premature mortality", US_national_yearly!$D:$AM, 10, FALSE), 1)</f>
        <v>1.5194891056269709E-3</v>
      </c>
      <c r="K2" s="7">
        <f>$B2 * IFERROR(VLOOKUP("industry|NOx|Premature mortality", US_national_yearly!$D:$AM, 19, FALSE) / VLOOKUP("industry|NOx|Premature mortality", US_national_yearly!$D:$AM, 10, FALSE), 1)</f>
        <v>1.5422872408751317E-3</v>
      </c>
      <c r="L2" s="7">
        <f>$B2 * IFERROR(VLOOKUP("industry|NOx|Premature mortality", US_national_yearly!$D:$AM, 20, FALSE) / VLOOKUP("industry|NOx|Premature mortality", US_national_yearly!$D:$AM, 10, FALSE), 1)</f>
        <v>1.5650853761232924E-3</v>
      </c>
      <c r="M2" s="7">
        <f>$B2 * IFERROR(VLOOKUP("industry|NOx|Premature mortality", US_national_yearly!$D:$AM, 21, FALSE) / VLOOKUP("industry|NOx|Premature mortality", US_national_yearly!$D:$AM, 10, FALSE), 1)</f>
        <v>1.587883511371453E-3</v>
      </c>
      <c r="N2" s="7">
        <f>$B2 * IFERROR(VLOOKUP("industry|NOx|Premature mortality", US_national_yearly!$D:$AM, 22, FALSE) / VLOOKUP("industry|NOx|Premature mortality", US_national_yearly!$D:$AM, 10, FALSE), 1)</f>
        <v>1.6048482989349433E-3</v>
      </c>
      <c r="O2" s="7">
        <f>$B2 * IFERROR(VLOOKUP("industry|NOx|Premature mortality", US_national_yearly!$D:$AM, 23, FALSE) / VLOOKUP("industry|NOx|Premature mortality", US_national_yearly!$D:$AM, 10, FALSE), 1)</f>
        <v>1.6218130864984334E-3</v>
      </c>
      <c r="P2" s="7">
        <f>$B2 * IFERROR(VLOOKUP("industry|NOx|Premature mortality", US_national_yearly!$D:$AM, 24, FALSE) / VLOOKUP("industry|NOx|Premature mortality", US_national_yearly!$D:$AM, 10, FALSE), 1)</f>
        <v>1.638777874061923E-3</v>
      </c>
      <c r="Q2" s="7">
        <f>$B2 * IFERROR(VLOOKUP("industry|NOx|Premature mortality", US_national_yearly!$D:$AM, 25, FALSE) / VLOOKUP("industry|NOx|Premature mortality", US_national_yearly!$D:$AM, 10, FALSE), 1)</f>
        <v>1.6557426616254129E-3</v>
      </c>
      <c r="R2" s="7">
        <f>$B2 * IFERROR(VLOOKUP("industry|NOx|Premature mortality", US_national_yearly!$D:$AM, 26, FALSE) / VLOOKUP("industry|NOx|Premature mortality", US_national_yearly!$D:$AM, 10, FALSE), 1)</f>
        <v>1.6727074491889027E-3</v>
      </c>
      <c r="S2" s="7">
        <f>$B2 * IFERROR(VLOOKUP("industry|NOx|Premature mortality", US_national_yearly!$D:$AM, 27, FALSE) / VLOOKUP("industry|NOx|Premature mortality", US_national_yearly!$D:$AM, 10, FALSE), 1)</f>
        <v>1.680607278518401E-3</v>
      </c>
      <c r="T2" s="7">
        <f>$B2 * IFERROR(VLOOKUP("industry|NOx|Premature mortality", US_national_yearly!$D:$AM, 28, FALSE) / VLOOKUP("industry|NOx|Premature mortality", US_national_yearly!$D:$AM, 10, FALSE), 1)</f>
        <v>1.6885071078478991E-3</v>
      </c>
      <c r="U2" s="7">
        <f>$B2 * IFERROR(VLOOKUP("industry|NOx|Premature mortality", US_national_yearly!$D:$AM, 29, FALSE) / VLOOKUP("industry|NOx|Premature mortality", US_national_yearly!$D:$AM, 10, FALSE), 1)</f>
        <v>1.6964069371773974E-3</v>
      </c>
      <c r="V2" s="7">
        <f>$B2 * IFERROR(VLOOKUP("industry|NOx|Premature mortality", US_national_yearly!$D:$AM, 30, FALSE) / VLOOKUP("industry|NOx|Premature mortality", US_national_yearly!$D:$AM, 10, FALSE), 1)</f>
        <v>1.7043067665068955E-3</v>
      </c>
      <c r="W2" s="7">
        <f>$B2 * IFERROR(VLOOKUP("industry|NOx|Premature mortality", US_national_yearly!$D:$AM, 31, FALSE) / VLOOKUP("industry|NOx|Premature mortality", US_national_yearly!$D:$AM, 10, FALSE), 1)</f>
        <v>1.7122065958363934E-3</v>
      </c>
      <c r="X2" s="7">
        <f>$B2 * IFERROR(VLOOKUP("industry|NOx|Premature mortality", US_national_yearly!$D:$AM, 32, FALSE) / VLOOKUP("industry|NOx|Premature mortality", US_national_yearly!$D:$AM, 10, FALSE), 1)</f>
        <v>1.7128103260588003E-3</v>
      </c>
      <c r="Y2" s="7">
        <f>$B2 * IFERROR(VLOOKUP("industry|NOx|Premature mortality", US_national_yearly!$D:$AM, 33, FALSE) / VLOOKUP("industry|NOx|Premature mortality", US_national_yearly!$D:$AM, 10, FALSE), 1)</f>
        <v>1.713414056281207E-3</v>
      </c>
      <c r="Z2" s="7">
        <f>$B2 * IFERROR(VLOOKUP("industry|NOx|Premature mortality", US_national_yearly!$D:$AM, 34, FALSE) / VLOOKUP("industry|NOx|Premature mortality", US_national_yearly!$D:$AM, 10, FALSE), 1)</f>
        <v>1.7140177865036139E-3</v>
      </c>
      <c r="AA2" s="7">
        <f>$B2 * IFERROR(VLOOKUP("industry|NOx|Premature mortality", US_national_yearly!$D:$AM, 35, FALSE) / VLOOKUP("industry|NOx|Premature mortality", US_national_yearly!$D:$AM, 10, FALSE), 1)</f>
        <v>1.7146215167260209E-3</v>
      </c>
      <c r="AB2" s="7">
        <f>$B2 * IFERROR(VLOOKUP("industry|NOx|Premature mortality", US_national_yearly!$D:$AM, 36, FALSE) / VLOOKUP("industry|NOx|Premature mortality", US_national_yearly!$D:$AM, 10, FALSE), 1)</f>
        <v>1.7152252469484275E-3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3.1436918531472686E-6</v>
      </c>
      <c r="C3" s="7">
        <f>$B3 * IFERROR(VLOOKUP("industry|NOx|Infant mortality", US_national_yearly!$D:$AM, 11, FALSE) / VLOOKUP("industry|NOx|Infant mortality", US_national_yearly!$D:$AM, 10, FALSE), 1)</f>
        <v>3.1135852430963281E-6</v>
      </c>
      <c r="D3" s="7">
        <f>$B3 * IFERROR(VLOOKUP("industry|NOx|Infant mortality", US_national_yearly!$D:$AM, 12, FALSE) / VLOOKUP("industry|NOx|Infant mortality", US_national_yearly!$D:$AM, 10, FALSE), 1)</f>
        <v>3.0834786330453871E-6</v>
      </c>
      <c r="E3" s="7">
        <f>$B3 * IFERROR(VLOOKUP("industry|NOx|Infant mortality", US_national_yearly!$D:$AM, 13, FALSE) / VLOOKUP("industry|NOx|Infant mortality", US_national_yearly!$D:$AM, 10, FALSE), 1)</f>
        <v>3.0533720229944465E-6</v>
      </c>
      <c r="F3" s="7">
        <f>$B3 * IFERROR(VLOOKUP("industry|NOx|Infant mortality", US_national_yearly!$D:$AM, 14, FALSE) / VLOOKUP("industry|NOx|Infant mortality", US_national_yearly!$D:$AM, 10, FALSE), 1)</f>
        <v>3.0232654129435056E-6</v>
      </c>
      <c r="G3" s="7">
        <f>$B3 * IFERROR(VLOOKUP("industry|NOx|Infant mortality", US_national_yearly!$D:$AM, 15, FALSE) / VLOOKUP("industry|NOx|Infant mortality", US_national_yearly!$D:$AM, 10, FALSE), 1)</f>
        <v>2.0052963814915366E-6</v>
      </c>
      <c r="H3" s="7">
        <f>$B3 * IFERROR(VLOOKUP("industry|NOx|Infant mortality", US_national_yearly!$D:$AM, 16, FALSE) / VLOOKUP("industry|NOx|Infant mortality", US_national_yearly!$D:$AM, 10, FALSE), 1)</f>
        <v>9.8732735003956804E-7</v>
      </c>
      <c r="I3" s="7">
        <f>$B3 * IFERROR(VLOOKUP("industry|NOx|Infant mortality", US_national_yearly!$D:$AM, 17, FALSE) / VLOOKUP("industry|NOx|Infant mortality", US_national_yearly!$D:$AM, 10, FALSE), 1)</f>
        <v>9.8020914613724251E-7</v>
      </c>
      <c r="J3" s="7">
        <f>$B3 * IFERROR(VLOOKUP("industry|NOx|Infant mortality", US_national_yearly!$D:$AM, 18, FALSE) / VLOOKUP("industry|NOx|Infant mortality", US_national_yearly!$D:$AM, 10, FALSE), 1)</f>
        <v>9.7309094223491698E-7</v>
      </c>
      <c r="K3" s="7">
        <f>$B3 * IFERROR(VLOOKUP("industry|NOx|Infant mortality", US_national_yearly!$D:$AM, 19, FALSE) / VLOOKUP("industry|NOx|Infant mortality", US_national_yearly!$D:$AM, 10, FALSE), 1)</f>
        <v>9.6597273833259124E-7</v>
      </c>
      <c r="L3" s="7">
        <f>$B3 * IFERROR(VLOOKUP("industry|NOx|Infant mortality", US_national_yearly!$D:$AM, 20, FALSE) / VLOOKUP("industry|NOx|Infant mortality", US_national_yearly!$D:$AM, 10, FALSE), 1)</f>
        <v>9.5885453443026528E-7</v>
      </c>
      <c r="M3" s="7">
        <f>$B3 * IFERROR(VLOOKUP("industry|NOx|Infant mortality", US_national_yearly!$D:$AM, 21, FALSE) / VLOOKUP("industry|NOx|Infant mortality", US_national_yearly!$D:$AM, 10, FALSE), 1)</f>
        <v>9.5173633052793965E-7</v>
      </c>
      <c r="N3" s="7">
        <f>$B3 * IFERROR(VLOOKUP("industry|NOx|Infant mortality", US_national_yearly!$D:$AM, 22, FALSE) / VLOOKUP("industry|NOx|Infant mortality", US_national_yearly!$D:$AM, 10, FALSE), 1)</f>
        <v>9.469404058191029E-7</v>
      </c>
      <c r="O3" s="7">
        <f>$B3 * IFERROR(VLOOKUP("industry|NOx|Infant mortality", US_national_yearly!$D:$AM, 23, FALSE) / VLOOKUP("industry|NOx|Infant mortality", US_national_yearly!$D:$AM, 10, FALSE), 1)</f>
        <v>9.4214448111026584E-7</v>
      </c>
      <c r="P3" s="7">
        <f>$B3 * IFERROR(VLOOKUP("industry|NOx|Infant mortality", US_national_yearly!$D:$AM, 24, FALSE) / VLOOKUP("industry|NOx|Infant mortality", US_national_yearly!$D:$AM, 10, FALSE), 1)</f>
        <v>9.3734855640142899E-7</v>
      </c>
      <c r="Q3" s="7">
        <f>$B3 * IFERROR(VLOOKUP("industry|NOx|Infant mortality", US_national_yearly!$D:$AM, 25, FALSE) / VLOOKUP("industry|NOx|Infant mortality", US_national_yearly!$D:$AM, 10, FALSE), 1)</f>
        <v>9.3255263169259225E-7</v>
      </c>
      <c r="R3" s="7">
        <f>$B3 * IFERROR(VLOOKUP("industry|NOx|Infant mortality", US_national_yearly!$D:$AM, 26, FALSE) / VLOOKUP("industry|NOx|Infant mortality", US_national_yearly!$D:$AM, 10, FALSE), 1)</f>
        <v>9.277567069837554E-7</v>
      </c>
      <c r="S3" s="7">
        <f>$B3 * IFERROR(VLOOKUP("industry|NOx|Infant mortality", US_national_yearly!$D:$AM, 27, FALSE) / VLOOKUP("industry|NOx|Infant mortality", US_national_yearly!$D:$AM, 10, FALSE), 1)</f>
        <v>9.220616321339162E-7</v>
      </c>
      <c r="T3" s="7">
        <f>$B3 * IFERROR(VLOOKUP("industry|NOx|Infant mortality", US_national_yearly!$D:$AM, 28, FALSE) / VLOOKUP("industry|NOx|Infant mortality", US_national_yearly!$D:$AM, 10, FALSE), 1)</f>
        <v>9.1636655728407701E-7</v>
      </c>
      <c r="U3" s="7">
        <f>$B3 * IFERROR(VLOOKUP("industry|NOx|Infant mortality", US_national_yearly!$D:$AM, 29, FALSE) / VLOOKUP("industry|NOx|Infant mortality", US_national_yearly!$D:$AM, 10, FALSE), 1)</f>
        <v>9.1067148243423781E-7</v>
      </c>
      <c r="V3" s="7">
        <f>$B3 * IFERROR(VLOOKUP("industry|NOx|Infant mortality", US_national_yearly!$D:$AM, 30, FALSE) / VLOOKUP("industry|NOx|Infant mortality", US_national_yearly!$D:$AM, 10, FALSE), 1)</f>
        <v>9.0497640758439872E-7</v>
      </c>
      <c r="W3" s="7">
        <f>$B3 * IFERROR(VLOOKUP("industry|NOx|Infant mortality", US_national_yearly!$D:$AM, 31, FALSE) / VLOOKUP("industry|NOx|Infant mortality", US_national_yearly!$D:$AM, 10, FALSE), 1)</f>
        <v>8.9928133273455973E-7</v>
      </c>
      <c r="X3" s="7">
        <f>$B3 * IFERROR(VLOOKUP("industry|NOx|Infant mortality", US_national_yearly!$D:$AM, 32, FALSE) / VLOOKUP("industry|NOx|Infant mortality", US_national_yearly!$D:$AM, 10, FALSE), 1)</f>
        <v>8.933008735375742E-7</v>
      </c>
      <c r="Y3" s="7">
        <f>$B3 * IFERROR(VLOOKUP("industry|NOx|Infant mortality", US_national_yearly!$D:$AM, 33, FALSE) / VLOOKUP("industry|NOx|Infant mortality", US_national_yearly!$D:$AM, 10, FALSE), 1)</f>
        <v>8.8732041434058888E-7</v>
      </c>
      <c r="Z3" s="7">
        <f>$B3 * IFERROR(VLOOKUP("industry|NOx|Infant mortality", US_national_yearly!$D:$AM, 34, FALSE) / VLOOKUP("industry|NOx|Infant mortality", US_national_yearly!$D:$AM, 10, FALSE), 1)</f>
        <v>8.8133995514360356E-7</v>
      </c>
      <c r="AA3" s="7">
        <f>$B3 * IFERROR(VLOOKUP("industry|NOx|Infant mortality", US_national_yearly!$D:$AM, 35, FALSE) / VLOOKUP("industry|NOx|Infant mortality", US_national_yearly!$D:$AM, 10, FALSE), 1)</f>
        <v>8.7535949594661813E-7</v>
      </c>
      <c r="AB3" s="7">
        <f>$B3 * IFERROR(VLOOKUP("industry|NOx|Infant mortality", US_national_yearly!$D:$AM, 36, FALSE) / VLOOKUP("industry|NOx|Infant mortality", US_national_yearly!$D:$AM, 10, FALSE), 1)</f>
        <v>8.693790367496328E-7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2.7157406362290533E-3</v>
      </c>
      <c r="C6" s="7">
        <f>$B6 * IFERROR(VLOOKUP("industry|NOx|Asthma symptoms cough", US_national_yearly!$D:$AM, 11, FALSE) / VLOOKUP("industry|NOx|Asthma symptoms cough", US_national_yearly!$D:$AM, 10, FALSE), 1)</f>
        <v>2.7528928896324426E-3</v>
      </c>
      <c r="D6" s="7">
        <f>$B6 * IFERROR(VLOOKUP("industry|NOx|Asthma symptoms cough", US_national_yearly!$D:$AM, 12, FALSE) / VLOOKUP("industry|NOx|Asthma symptoms cough", US_national_yearly!$D:$AM, 10, FALSE), 1)</f>
        <v>2.7900451430358324E-3</v>
      </c>
      <c r="E6" s="7">
        <f>$B6 * IFERROR(VLOOKUP("industry|NOx|Asthma symptoms cough", US_national_yearly!$D:$AM, 13, FALSE) / VLOOKUP("industry|NOx|Asthma symptoms cough", US_national_yearly!$D:$AM, 10, FALSE), 1)</f>
        <v>2.8271973964392218E-3</v>
      </c>
      <c r="F6" s="7">
        <f>$B6 * IFERROR(VLOOKUP("industry|NOx|Asthma symptoms cough", US_national_yearly!$D:$AM, 14, FALSE) / VLOOKUP("industry|NOx|Asthma symptoms cough", US_national_yearly!$D:$AM, 10, FALSE), 1)</f>
        <v>2.8643496498426111E-3</v>
      </c>
      <c r="G6" s="7">
        <f>$B6 * IFERROR(VLOOKUP("industry|NOx|Asthma symptoms cough", US_national_yearly!$D:$AM, 15, FALSE) / VLOOKUP("industry|NOx|Asthma symptoms cough", US_national_yearly!$D:$AM, 10, FALSE), 1)</f>
        <v>2.8941399933663267E-3</v>
      </c>
      <c r="H6" s="7">
        <f>$B6 * IFERROR(VLOOKUP("industry|NOx|Asthma symptoms cough", US_national_yearly!$D:$AM, 16, FALSE) / VLOOKUP("industry|NOx|Asthma symptoms cough", US_national_yearly!$D:$AM, 10, FALSE), 1)</f>
        <v>2.9239303368900427E-3</v>
      </c>
      <c r="I6" s="7">
        <f>$B6 * IFERROR(VLOOKUP("industry|NOx|Asthma symptoms cough", US_national_yearly!$D:$AM, 17, FALSE) / VLOOKUP("industry|NOx|Asthma symptoms cough", US_national_yearly!$D:$AM, 10, FALSE), 1)</f>
        <v>2.9342976405296833E-3</v>
      </c>
      <c r="J6" s="7">
        <f>$B6 * IFERROR(VLOOKUP("industry|NOx|Asthma symptoms cough", US_national_yearly!$D:$AM, 18, FALSE) / VLOOKUP("industry|NOx|Asthma symptoms cough", US_national_yearly!$D:$AM, 10, FALSE), 1)</f>
        <v>2.9446649441693248E-3</v>
      </c>
      <c r="K6" s="7">
        <f>$B6 * IFERROR(VLOOKUP("industry|NOx|Asthma symptoms cough", US_national_yearly!$D:$AM, 19, FALSE) / VLOOKUP("industry|NOx|Asthma symptoms cough", US_national_yearly!$D:$AM, 10, FALSE), 1)</f>
        <v>2.9550322478089659E-3</v>
      </c>
      <c r="L6" s="7">
        <f>$B6 * IFERROR(VLOOKUP("industry|NOx|Asthma symptoms cough", US_national_yearly!$D:$AM, 20, FALSE) / VLOOKUP("industry|NOx|Asthma symptoms cough", US_national_yearly!$D:$AM, 10, FALSE), 1)</f>
        <v>2.9653995514486073E-3</v>
      </c>
      <c r="M6" s="7">
        <f>$B6 * IFERROR(VLOOKUP("industry|NOx|Asthma symptoms cough", US_national_yearly!$D:$AM, 21, FALSE) / VLOOKUP("industry|NOx|Asthma symptoms cough", US_national_yearly!$D:$AM, 10, FALSE), 1)</f>
        <v>2.9757668550882488E-3</v>
      </c>
      <c r="N6" s="7">
        <f>$B6 * IFERROR(VLOOKUP("industry|NOx|Asthma symptoms cough", US_national_yearly!$D:$AM, 22, FALSE) / VLOOKUP("industry|NOx|Asthma symptoms cough", US_national_yearly!$D:$AM, 10, FALSE), 1)</f>
        <v>2.9876014152065292E-3</v>
      </c>
      <c r="O6" s="7">
        <f>$B6 * IFERROR(VLOOKUP("industry|NOx|Asthma symptoms cough", US_national_yearly!$D:$AM, 23, FALSE) / VLOOKUP("industry|NOx|Asthma symptoms cough", US_national_yearly!$D:$AM, 10, FALSE), 1)</f>
        <v>2.9994359753248091E-3</v>
      </c>
      <c r="P6" s="7">
        <f>$B6 * IFERROR(VLOOKUP("industry|NOx|Asthma symptoms cough", US_national_yearly!$D:$AM, 24, FALSE) / VLOOKUP("industry|NOx|Asthma symptoms cough", US_national_yearly!$D:$AM, 10, FALSE), 1)</f>
        <v>3.0112705354430895E-3</v>
      </c>
      <c r="Q6" s="7">
        <f>$B6 * IFERROR(VLOOKUP("industry|NOx|Asthma symptoms cough", US_national_yearly!$D:$AM, 25, FALSE) / VLOOKUP("industry|NOx|Asthma symptoms cough", US_national_yearly!$D:$AM, 10, FALSE), 1)</f>
        <v>3.0231050955613703E-3</v>
      </c>
      <c r="R6" s="7">
        <f>$B6 * IFERROR(VLOOKUP("industry|NOx|Asthma symptoms cough", US_national_yearly!$D:$AM, 26, FALSE) / VLOOKUP("industry|NOx|Asthma symptoms cough", US_national_yearly!$D:$AM, 10, FALSE), 1)</f>
        <v>3.0349396556796507E-3</v>
      </c>
      <c r="S6" s="7">
        <f>$B6 * IFERROR(VLOOKUP("industry|NOx|Asthma symptoms cough", US_national_yearly!$D:$AM, 27, FALSE) / VLOOKUP("industry|NOx|Asthma symptoms cough", US_national_yearly!$D:$AM, 10, FALSE), 1)</f>
        <v>3.0502057146001727E-3</v>
      </c>
      <c r="T6" s="7">
        <f>$B6 * IFERROR(VLOOKUP("industry|NOx|Asthma symptoms cough", US_national_yearly!$D:$AM, 28, FALSE) / VLOOKUP("industry|NOx|Asthma symptoms cough", US_national_yearly!$D:$AM, 10, FALSE), 1)</f>
        <v>3.0654717735206947E-3</v>
      </c>
      <c r="U6" s="7">
        <f>$B6 * IFERROR(VLOOKUP("industry|NOx|Asthma symptoms cough", US_national_yearly!$D:$AM, 29, FALSE) / VLOOKUP("industry|NOx|Asthma symptoms cough", US_national_yearly!$D:$AM, 10, FALSE), 1)</f>
        <v>3.0807378324412167E-3</v>
      </c>
      <c r="V6" s="7">
        <f>$B6 * IFERROR(VLOOKUP("industry|NOx|Asthma symptoms cough", US_national_yearly!$D:$AM, 30, FALSE) / VLOOKUP("industry|NOx|Asthma symptoms cough", US_national_yearly!$D:$AM, 10, FALSE), 1)</f>
        <v>3.0960038913617383E-3</v>
      </c>
      <c r="W6" s="7">
        <f>$B6 * IFERROR(VLOOKUP("industry|NOx|Asthma symptoms cough", US_national_yearly!$D:$AM, 31, FALSE) / VLOOKUP("industry|NOx|Asthma symptoms cough", US_national_yearly!$D:$AM, 10, FALSE), 1)</f>
        <v>3.1112699502822607E-3</v>
      </c>
      <c r="X6" s="7">
        <f>$B6 * IFERROR(VLOOKUP("industry|NOx|Asthma symptoms cough", US_national_yearly!$D:$AM, 32, FALSE) / VLOOKUP("industry|NOx|Asthma symptoms cough", US_national_yearly!$D:$AM, 10, FALSE), 1)</f>
        <v>3.1254227608404103E-3</v>
      </c>
      <c r="Y6" s="7">
        <f>$B6 * IFERROR(VLOOKUP("industry|NOx|Asthma symptoms cough", US_national_yearly!$D:$AM, 33, FALSE) / VLOOKUP("industry|NOx|Asthma symptoms cough", US_national_yearly!$D:$AM, 10, FALSE), 1)</f>
        <v>3.139575571398559E-3</v>
      </c>
      <c r="Z6" s="7">
        <f>$B6 * IFERROR(VLOOKUP("industry|NOx|Asthma symptoms cough", US_national_yearly!$D:$AM, 34, FALSE) / VLOOKUP("industry|NOx|Asthma symptoms cough", US_national_yearly!$D:$AM, 10, FALSE), 1)</f>
        <v>3.1537283819567082E-3</v>
      </c>
      <c r="AA6" s="7">
        <f>$B6 * IFERROR(VLOOKUP("industry|NOx|Asthma symptoms cough", US_national_yearly!$D:$AM, 35, FALSE) / VLOOKUP("industry|NOx|Asthma symptoms cough", US_national_yearly!$D:$AM, 10, FALSE), 1)</f>
        <v>3.1678811925148569E-3</v>
      </c>
      <c r="AB6" s="7">
        <f>$B6 * IFERROR(VLOOKUP("industry|NOx|Asthma symptoms cough", US_national_yearly!$D:$AM, 36, FALSE) / VLOOKUP("industry|NOx|Asthma symptoms cough", US_national_yearly!$D:$AM, 10, FALSE), 1)</f>
        <v>3.1820340030730061E-3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3.6570884053084597E-3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3.707118615503074E-3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3.7571488256976878E-3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3.8071790358923021E-3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3.8572092460869168E-3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3.8973257130404727E-3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3.9374421799940294E-3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3.9514030659967645E-3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3.9653639519995005E-3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3.9793248380022364E-3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3.9932857240049741E-3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4.0072466100077092E-3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4.0231833425377504E-3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4.0391200750677916E-3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4.0550568075978337E-3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4.0709935401278758E-3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4.0869302726579161E-3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4.107487952569727E-3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4.1280456324815388E-3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4.1486033123933489E-3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4.1691609923051607E-3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4.1897186722169707E-3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4.2087772223295865E-3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4.2278357724422023E-3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4.2468943225548181E-3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4.2659528726674339E-3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4.2850114227800488E-3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5.5875911281462994E-3</v>
      </c>
      <c r="C8" s="7">
        <f>$B8 * IFERROR(VLOOKUP("industry|NOx|Asthma symptoms wheeze", US_national_yearly!$D:$AM, 11, FALSE) / VLOOKUP("industry|NOx|Asthma symptoms wheeze", US_national_yearly!$D:$AM, 10, FALSE), 1)</f>
        <v>5.6640312708013656E-3</v>
      </c>
      <c r="D8" s="7">
        <f>$B8 * IFERROR(VLOOKUP("industry|NOx|Asthma symptoms wheeze", US_national_yearly!$D:$AM, 12, FALSE) / VLOOKUP("industry|NOx|Asthma symptoms wheeze", US_national_yearly!$D:$AM, 10, FALSE), 1)</f>
        <v>5.740471413456431E-3</v>
      </c>
      <c r="E8" s="7">
        <f>$B8 * IFERROR(VLOOKUP("industry|NOx|Asthma symptoms wheeze", US_national_yearly!$D:$AM, 13, FALSE) / VLOOKUP("industry|NOx|Asthma symptoms wheeze", US_national_yearly!$D:$AM, 10, FALSE), 1)</f>
        <v>5.8169115561114973E-3</v>
      </c>
      <c r="F8" s="7">
        <f>$B8 * IFERROR(VLOOKUP("industry|NOx|Asthma symptoms wheeze", US_national_yearly!$D:$AM, 14, FALSE) / VLOOKUP("industry|NOx|Asthma symptoms wheeze", US_national_yearly!$D:$AM, 10, FALSE), 1)</f>
        <v>5.8933516987665618E-3</v>
      </c>
      <c r="G8" s="7">
        <f>$B8 * IFERROR(VLOOKUP("industry|NOx|Asthma symptoms wheeze", US_national_yearly!$D:$AM, 15, FALSE) / VLOOKUP("industry|NOx|Asthma symptoms wheeze", US_national_yearly!$D:$AM, 10, FALSE), 1)</f>
        <v>5.954644834462744E-3</v>
      </c>
      <c r="H8" s="7">
        <f>$B8 * IFERROR(VLOOKUP("industry|NOx|Asthma symptoms wheeze", US_national_yearly!$D:$AM, 16, FALSE) / VLOOKUP("industry|NOx|Asthma symptoms wheeze", US_national_yearly!$D:$AM, 10, FALSE), 1)</f>
        <v>6.0159379701589235E-3</v>
      </c>
      <c r="I8" s="7">
        <f>$B8 * IFERROR(VLOOKUP("industry|NOx|Asthma symptoms wheeze", US_national_yearly!$D:$AM, 17, FALSE) / VLOOKUP("industry|NOx|Asthma symptoms wheeze", US_national_yearly!$D:$AM, 10, FALSE), 1)</f>
        <v>6.0372685247668759E-3</v>
      </c>
      <c r="J8" s="7">
        <f>$B8 * IFERROR(VLOOKUP("industry|NOx|Asthma symptoms wheeze", US_national_yearly!$D:$AM, 18, FALSE) / VLOOKUP("industry|NOx|Asthma symptoms wheeze", US_national_yearly!$D:$AM, 10, FALSE), 1)</f>
        <v>6.0585990793748275E-3</v>
      </c>
      <c r="K8" s="7">
        <f>$B8 * IFERROR(VLOOKUP("industry|NOx|Asthma symptoms wheeze", US_national_yearly!$D:$AM, 19, FALSE) / VLOOKUP("industry|NOx|Asthma symptoms wheeze", US_national_yearly!$D:$AM, 10, FALSE), 1)</f>
        <v>6.0799296339827807E-3</v>
      </c>
      <c r="L8" s="7">
        <f>$B8 * IFERROR(VLOOKUP("industry|NOx|Asthma symptoms wheeze", US_national_yearly!$D:$AM, 20, FALSE) / VLOOKUP("industry|NOx|Asthma symptoms wheeze", US_national_yearly!$D:$AM, 10, FALSE), 1)</f>
        <v>6.1012601885907305E-3</v>
      </c>
      <c r="M8" s="7">
        <f>$B8 * IFERROR(VLOOKUP("industry|NOx|Asthma symptoms wheeze", US_national_yearly!$D:$AM, 21, FALSE) / VLOOKUP("industry|NOx|Asthma symptoms wheeze", US_national_yearly!$D:$AM, 10, FALSE), 1)</f>
        <v>6.122590743198683E-3</v>
      </c>
      <c r="N8" s="7">
        <f>$B8 * IFERROR(VLOOKUP("industry|NOx|Asthma symptoms wheeze", US_national_yearly!$D:$AM, 22, FALSE) / VLOOKUP("industry|NOx|Asthma symptoms wheeze", US_national_yearly!$D:$AM, 10, FALSE), 1)</f>
        <v>6.1469401535744076E-3</v>
      </c>
      <c r="O8" s="7">
        <f>$B8 * IFERROR(VLOOKUP("industry|NOx|Asthma symptoms wheeze", US_national_yearly!$D:$AM, 23, FALSE) / VLOOKUP("industry|NOx|Asthma symptoms wheeze", US_national_yearly!$D:$AM, 10, FALSE), 1)</f>
        <v>6.1712895639501322E-3</v>
      </c>
      <c r="P8" s="7">
        <f>$B8 * IFERROR(VLOOKUP("industry|NOx|Asthma symptoms wheeze", US_national_yearly!$D:$AM, 24, FALSE) / VLOOKUP("industry|NOx|Asthma symptoms wheeze", US_national_yearly!$D:$AM, 10, FALSE), 1)</f>
        <v>6.1956389743258559E-3</v>
      </c>
      <c r="Q8" s="7">
        <f>$B8 * IFERROR(VLOOKUP("industry|NOx|Asthma symptoms wheeze", US_national_yearly!$D:$AM, 25, FALSE) / VLOOKUP("industry|NOx|Asthma symptoms wheeze", US_national_yearly!$D:$AM, 10, FALSE), 1)</f>
        <v>6.2199883847015797E-3</v>
      </c>
      <c r="R8" s="7">
        <f>$B8 * IFERROR(VLOOKUP("industry|NOx|Asthma symptoms wheeze", US_national_yearly!$D:$AM, 26, FALSE) / VLOOKUP("industry|NOx|Asthma symptoms wheeze", US_national_yearly!$D:$AM, 10, FALSE), 1)</f>
        <v>6.2443377950773043E-3</v>
      </c>
      <c r="S8" s="7">
        <f>$B8 * IFERROR(VLOOKUP("industry|NOx|Asthma symptoms wheeze", US_national_yearly!$D:$AM, 27, FALSE) / VLOOKUP("industry|NOx|Asthma symptoms wheeze", US_national_yearly!$D:$AM, 10, FALSE), 1)</f>
        <v>6.2757474570872569E-3</v>
      </c>
      <c r="T8" s="7">
        <f>$B8 * IFERROR(VLOOKUP("industry|NOx|Asthma symptoms wheeze", US_national_yearly!$D:$AM, 28, FALSE) / VLOOKUP("industry|NOx|Asthma symptoms wheeze", US_national_yearly!$D:$AM, 10, FALSE), 1)</f>
        <v>6.3071571190972077E-3</v>
      </c>
      <c r="U8" s="7">
        <f>$B8 * IFERROR(VLOOKUP("industry|NOx|Asthma symptoms wheeze", US_national_yearly!$D:$AM, 29, FALSE) / VLOOKUP("industry|NOx|Asthma symptoms wheeze", US_national_yearly!$D:$AM, 10, FALSE), 1)</f>
        <v>6.3385667811071585E-3</v>
      </c>
      <c r="V8" s="7">
        <f>$B8 * IFERROR(VLOOKUP("industry|NOx|Asthma symptoms wheeze", US_national_yearly!$D:$AM, 30, FALSE) / VLOOKUP("industry|NOx|Asthma symptoms wheeze", US_national_yearly!$D:$AM, 10, FALSE), 1)</f>
        <v>6.3699764431171101E-3</v>
      </c>
      <c r="W8" s="7">
        <f>$B8 * IFERROR(VLOOKUP("industry|NOx|Asthma symptoms wheeze", US_national_yearly!$D:$AM, 31, FALSE) / VLOOKUP("industry|NOx|Asthma symptoms wheeze", US_national_yearly!$D:$AM, 10, FALSE), 1)</f>
        <v>6.4013861051270609E-3</v>
      </c>
      <c r="X8" s="7">
        <f>$B8 * IFERROR(VLOOKUP("industry|NOx|Asthma symptoms wheeze", US_national_yearly!$D:$AM, 32, FALSE) / VLOOKUP("industry|NOx|Asthma symptoms wheeze", US_national_yearly!$D:$AM, 10, FALSE), 1)</f>
        <v>6.4305052771694215E-3</v>
      </c>
      <c r="Y8" s="7">
        <f>$B8 * IFERROR(VLOOKUP("industry|NOx|Asthma symptoms wheeze", US_national_yearly!$D:$AM, 33, FALSE) / VLOOKUP("industry|NOx|Asthma symptoms wheeze", US_national_yearly!$D:$AM, 10, FALSE), 1)</f>
        <v>6.4596244492117821E-3</v>
      </c>
      <c r="Z8" s="7">
        <f>$B8 * IFERROR(VLOOKUP("industry|NOx|Asthma symptoms wheeze", US_national_yearly!$D:$AM, 34, FALSE) / VLOOKUP("industry|NOx|Asthma symptoms wheeze", US_national_yearly!$D:$AM, 10, FALSE), 1)</f>
        <v>6.4887436212541418E-3</v>
      </c>
      <c r="AA8" s="7">
        <f>$B8 * IFERROR(VLOOKUP("industry|NOx|Asthma symptoms wheeze", US_national_yearly!$D:$AM, 35, FALSE) / VLOOKUP("industry|NOx|Asthma symptoms wheeze", US_national_yearly!$D:$AM, 10, FALSE), 1)</f>
        <v>6.5178627932965007E-3</v>
      </c>
      <c r="AB8" s="7">
        <f>$B8 * IFERROR(VLOOKUP("industry|NOx|Asthma symptoms wheeze", US_national_yearly!$D:$AM, 36, FALSE) / VLOOKUP("industry|NOx|Asthma symptoms wheeze", US_national_yearly!$D:$AM, 10, FALSE), 1)</f>
        <v>6.5469819653388656E-3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9.4389163274299497E-5</v>
      </c>
      <c r="C12" s="7">
        <f>$B12 * IFERROR(VLOOKUP("industry|NOx|Respiratory hospital admissions", US_national_yearly!$D:$AM, 11, FALSE) / VLOOKUP("industry|NOx|Respiratory hospital admissions", US_national_yearly!$D:$AM, 10, FALSE), 1)</f>
        <v>9.6760531768355046E-5</v>
      </c>
      <c r="D12" s="7">
        <f>$B12 * IFERROR(VLOOKUP("industry|NOx|Respiratory hospital admissions", US_national_yearly!$D:$AM, 12, FALSE) / VLOOKUP("industry|NOx|Respiratory hospital admissions", US_national_yearly!$D:$AM, 10, FALSE), 1)</f>
        <v>9.9131900262410609E-5</v>
      </c>
      <c r="E12" s="7">
        <f>$B12 * IFERROR(VLOOKUP("industry|NOx|Respiratory hospital admissions", US_national_yearly!$D:$AM, 13, FALSE) / VLOOKUP("industry|NOx|Respiratory hospital admissions", US_national_yearly!$D:$AM, 10, FALSE), 1)</f>
        <v>1.0150326875646619E-4</v>
      </c>
      <c r="F12" s="7">
        <f>$B12 * IFERROR(VLOOKUP("industry|NOx|Respiratory hospital admissions", US_national_yearly!$D:$AM, 14, FALSE) / VLOOKUP("industry|NOx|Respiratory hospital admissions", US_national_yearly!$D:$AM, 10, FALSE), 1)</f>
        <v>1.0387463725052171E-4</v>
      </c>
      <c r="G12" s="7">
        <f>$B12 * IFERROR(VLOOKUP("industry|NOx|Respiratory hospital admissions", US_national_yearly!$D:$AM, 15, FALSE) / VLOOKUP("industry|NOx|Respiratory hospital admissions", US_national_yearly!$D:$AM, 10, FALSE), 1)</f>
        <v>1.0614295666331196E-4</v>
      </c>
      <c r="H12" s="7">
        <f>$B12 * IFERROR(VLOOKUP("industry|NOx|Respiratory hospital admissions", US_national_yearly!$D:$AM, 16, FALSE) / VLOOKUP("industry|NOx|Respiratory hospital admissions", US_national_yearly!$D:$AM, 10, FALSE), 1)</f>
        <v>1.0841127607610222E-4</v>
      </c>
      <c r="I12" s="7">
        <f>$B12 * IFERROR(VLOOKUP("industry|NOx|Respiratory hospital admissions", US_national_yearly!$D:$AM, 17, FALSE) / VLOOKUP("industry|NOx|Respiratory hospital admissions", US_national_yearly!$D:$AM, 10, FALSE), 1)</f>
        <v>1.1034305807599368E-4</v>
      </c>
      <c r="J12" s="7">
        <f>$B12 * IFERROR(VLOOKUP("industry|NOx|Respiratory hospital admissions", US_national_yearly!$D:$AM, 18, FALSE) / VLOOKUP("industry|NOx|Respiratory hospital admissions", US_national_yearly!$D:$AM, 10, FALSE), 1)</f>
        <v>1.1227484007588513E-4</v>
      </c>
      <c r="K12" s="7">
        <f>$B12 * IFERROR(VLOOKUP("industry|NOx|Respiratory hospital admissions", US_national_yearly!$D:$AM, 19, FALSE) / VLOOKUP("industry|NOx|Respiratory hospital admissions", US_national_yearly!$D:$AM, 10, FALSE), 1)</f>
        <v>1.1420662207577662E-4</v>
      </c>
      <c r="L12" s="7">
        <f>$B12 * IFERROR(VLOOKUP("industry|NOx|Respiratory hospital admissions", US_national_yearly!$D:$AM, 20, FALSE) / VLOOKUP("industry|NOx|Respiratory hospital admissions", US_national_yearly!$D:$AM, 10, FALSE), 1)</f>
        <v>1.161384040756681E-4</v>
      </c>
      <c r="M12" s="7">
        <f>$B12 * IFERROR(VLOOKUP("industry|NOx|Respiratory hospital admissions", US_national_yearly!$D:$AM, 21, FALSE) / VLOOKUP("industry|NOx|Respiratory hospital admissions", US_national_yearly!$D:$AM, 10, FALSE), 1)</f>
        <v>1.1807018607555956E-4</v>
      </c>
      <c r="N12" s="7">
        <f>$B12 * IFERROR(VLOOKUP("industry|NOx|Respiratory hospital admissions", US_national_yearly!$D:$AM, 22, FALSE) / VLOOKUP("industry|NOx|Respiratory hospital admissions", US_national_yearly!$D:$AM, 10, FALSE), 1)</f>
        <v>1.1936489919058217E-4</v>
      </c>
      <c r="O12" s="7">
        <f>$B12 * IFERROR(VLOOKUP("industry|NOx|Respiratory hospital admissions", US_national_yearly!$D:$AM, 23, FALSE) / VLOOKUP("industry|NOx|Respiratory hospital admissions", US_national_yearly!$D:$AM, 10, FALSE), 1)</f>
        <v>1.2065961230560476E-4</v>
      </c>
      <c r="P12" s="7">
        <f>$B12 * IFERROR(VLOOKUP("industry|NOx|Respiratory hospital admissions", US_national_yearly!$D:$AM, 24, FALSE) / VLOOKUP("industry|NOx|Respiratory hospital admissions", US_national_yearly!$D:$AM, 10, FALSE), 1)</f>
        <v>1.2195432542062738E-4</v>
      </c>
      <c r="Q12" s="7">
        <f>$B12 * IFERROR(VLOOKUP("industry|NOx|Respiratory hospital admissions", US_national_yearly!$D:$AM, 25, FALSE) / VLOOKUP("industry|NOx|Respiratory hospital admissions", US_national_yearly!$D:$AM, 10, FALSE), 1)</f>
        <v>1.2324903853564998E-4</v>
      </c>
      <c r="R12" s="7">
        <f>$B12 * IFERROR(VLOOKUP("industry|NOx|Respiratory hospital admissions", US_national_yearly!$D:$AM, 26, FALSE) / VLOOKUP("industry|NOx|Respiratory hospital admissions", US_national_yearly!$D:$AM, 10, FALSE), 1)</f>
        <v>1.2454375165067257E-4</v>
      </c>
      <c r="S12" s="7">
        <f>$B12 * IFERROR(VLOOKUP("industry|NOx|Respiratory hospital admissions", US_national_yearly!$D:$AM, 27, FALSE) / VLOOKUP("industry|NOx|Respiratory hospital admissions", US_national_yearly!$D:$AM, 10, FALSE), 1)</f>
        <v>1.2524666837824134E-4</v>
      </c>
      <c r="T12" s="7">
        <f>$B12 * IFERROR(VLOOKUP("industry|NOx|Respiratory hospital admissions", US_national_yearly!$D:$AM, 28, FALSE) / VLOOKUP("industry|NOx|Respiratory hospital admissions", US_national_yearly!$D:$AM, 10, FALSE), 1)</f>
        <v>1.2594958510581014E-4</v>
      </c>
      <c r="U12" s="7">
        <f>$B12 * IFERROR(VLOOKUP("industry|NOx|Respiratory hospital admissions", US_national_yearly!$D:$AM, 29, FALSE) / VLOOKUP("industry|NOx|Respiratory hospital admissions", US_national_yearly!$D:$AM, 10, FALSE), 1)</f>
        <v>1.2665250183337891E-4</v>
      </c>
      <c r="V12" s="7">
        <f>$B12 * IFERROR(VLOOKUP("industry|NOx|Respiratory hospital admissions", US_national_yearly!$D:$AM, 30, FALSE) / VLOOKUP("industry|NOx|Respiratory hospital admissions", US_national_yearly!$D:$AM, 10, FALSE), 1)</f>
        <v>1.2735541856094765E-4</v>
      </c>
      <c r="W12" s="7">
        <f>$B12 * IFERROR(VLOOKUP("industry|NOx|Respiratory hospital admissions", US_national_yearly!$D:$AM, 31, FALSE) / VLOOKUP("industry|NOx|Respiratory hospital admissions", US_national_yearly!$D:$AM, 10, FALSE), 1)</f>
        <v>1.2805833528851645E-4</v>
      </c>
      <c r="X12" s="7">
        <f>$B12 * IFERROR(VLOOKUP("industry|NOx|Respiratory hospital admissions", US_national_yearly!$D:$AM, 32, FALSE) / VLOOKUP("industry|NOx|Respiratory hospital admissions", US_national_yearly!$D:$AM, 10, FALSE), 1)</f>
        <v>1.2854845213147685E-4</v>
      </c>
      <c r="Y12" s="7">
        <f>$B12 * IFERROR(VLOOKUP("industry|NOx|Respiratory hospital admissions", US_national_yearly!$D:$AM, 33, FALSE) / VLOOKUP("industry|NOx|Respiratory hospital admissions", US_national_yearly!$D:$AM, 10, FALSE), 1)</f>
        <v>1.2903856897443725E-4</v>
      </c>
      <c r="Z12" s="7">
        <f>$B12 * IFERROR(VLOOKUP("industry|NOx|Respiratory hospital admissions", US_national_yearly!$D:$AM, 34, FALSE) / VLOOKUP("industry|NOx|Respiratory hospital admissions", US_national_yearly!$D:$AM, 10, FALSE), 1)</f>
        <v>1.2952868581739767E-4</v>
      </c>
      <c r="AA12" s="7">
        <f>$B12 * IFERROR(VLOOKUP("industry|NOx|Respiratory hospital admissions", US_national_yearly!$D:$AM, 35, FALSE) / VLOOKUP("industry|NOx|Respiratory hospital admissions", US_national_yearly!$D:$AM, 10, FALSE), 1)</f>
        <v>1.3001880266035807E-4</v>
      </c>
      <c r="AB12" s="7">
        <f>$B12 * IFERROR(VLOOKUP("industry|NOx|Respiratory hospital admissions", US_national_yearly!$D:$AM, 36, FALSE) / VLOOKUP("industry|NOx|Respiratory hospital admissions", US_national_yearly!$D:$AM, 10, FALSE), 1)</f>
        <v>1.3050891950331848E-4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5.439783730399972E-4</v>
      </c>
      <c r="C13" s="7">
        <f>$B13 * IFERROR(VLOOKUP("industry|NOx|Non-fatal heart attacks", US_national_yearly!$D:$AM, 11, FALSE) / VLOOKUP("industry|NOx|Non-fatal heart attacks", US_national_yearly!$D:$AM, 10, FALSE), 1)</f>
        <v>5.5952035644137325E-4</v>
      </c>
      <c r="D13" s="7">
        <f>$B13 * IFERROR(VLOOKUP("industry|NOx|Non-fatal heart attacks", US_national_yearly!$D:$AM, 12, FALSE) / VLOOKUP("industry|NOx|Non-fatal heart attacks", US_national_yearly!$D:$AM, 10, FALSE), 1)</f>
        <v>5.7506233984274931E-4</v>
      </c>
      <c r="E13" s="7">
        <f>$B13 * IFERROR(VLOOKUP("industry|NOx|Non-fatal heart attacks", US_national_yearly!$D:$AM, 13, FALSE) / VLOOKUP("industry|NOx|Non-fatal heart attacks", US_national_yearly!$D:$AM, 10, FALSE), 1)</f>
        <v>5.9060432324412537E-4</v>
      </c>
      <c r="F13" s="7">
        <f>$B13 * IFERROR(VLOOKUP("industry|NOx|Non-fatal heart attacks", US_national_yearly!$D:$AM, 14, FALSE) / VLOOKUP("industry|NOx|Non-fatal heart attacks", US_national_yearly!$D:$AM, 10, FALSE), 1)</f>
        <v>6.0614630664550142E-4</v>
      </c>
      <c r="G13" s="7">
        <f>$B13 * IFERROR(VLOOKUP("industry|NOx|Non-fatal heart attacks", US_national_yearly!$D:$AM, 15, FALSE) / VLOOKUP("industry|NOx|Non-fatal heart attacks", US_national_yearly!$D:$AM, 10, FALSE), 1)</f>
        <v>6.2068258858675866E-4</v>
      </c>
      <c r="H13" s="7">
        <f>$B13 * IFERROR(VLOOKUP("industry|NOx|Non-fatal heart attacks", US_national_yearly!$D:$AM, 16, FALSE) / VLOOKUP("industry|NOx|Non-fatal heart attacks", US_national_yearly!$D:$AM, 10, FALSE), 1)</f>
        <v>6.3521887052801578E-4</v>
      </c>
      <c r="I13" s="7">
        <f>$B13 * IFERROR(VLOOKUP("industry|NOx|Non-fatal heart attacks", US_national_yearly!$D:$AM, 17, FALSE) / VLOOKUP("industry|NOx|Non-fatal heart attacks", US_national_yearly!$D:$AM, 10, FALSE), 1)</f>
        <v>6.4671554150171485E-4</v>
      </c>
      <c r="J13" s="7">
        <f>$B13 * IFERROR(VLOOKUP("industry|NOx|Non-fatal heart attacks", US_national_yearly!$D:$AM, 18, FALSE) / VLOOKUP("industry|NOx|Non-fatal heart attacks", US_national_yearly!$D:$AM, 10, FALSE), 1)</f>
        <v>6.5821221247541382E-4</v>
      </c>
      <c r="K13" s="7">
        <f>$B13 * IFERROR(VLOOKUP("industry|NOx|Non-fatal heart attacks", US_national_yearly!$D:$AM, 19, FALSE) / VLOOKUP("industry|NOx|Non-fatal heart attacks", US_national_yearly!$D:$AM, 10, FALSE), 1)</f>
        <v>6.6970888344911267E-4</v>
      </c>
      <c r="L13" s="7">
        <f>$B13 * IFERROR(VLOOKUP("industry|NOx|Non-fatal heart attacks", US_national_yearly!$D:$AM, 20, FALSE) / VLOOKUP("industry|NOx|Non-fatal heart attacks", US_national_yearly!$D:$AM, 10, FALSE), 1)</f>
        <v>6.8120555442281185E-4</v>
      </c>
      <c r="M13" s="7">
        <f>$B13 * IFERROR(VLOOKUP("industry|NOx|Non-fatal heart attacks", US_national_yearly!$D:$AM, 21, FALSE) / VLOOKUP("industry|NOx|Non-fatal heart attacks", US_national_yearly!$D:$AM, 10, FALSE), 1)</f>
        <v>6.9270222539651104E-4</v>
      </c>
      <c r="N13" s="7">
        <f>$B13 * IFERROR(VLOOKUP("industry|NOx|Non-fatal heart attacks", US_national_yearly!$D:$AM, 22, FALSE) / VLOOKUP("industry|NOx|Non-fatal heart attacks", US_national_yearly!$D:$AM, 10, FALSE), 1)</f>
        <v>6.9962841787063999E-4</v>
      </c>
      <c r="O13" s="7">
        <f>$B13 * IFERROR(VLOOKUP("industry|NOx|Non-fatal heart attacks", US_national_yearly!$D:$AM, 23, FALSE) / VLOOKUP("industry|NOx|Non-fatal heart attacks", US_national_yearly!$D:$AM, 10, FALSE), 1)</f>
        <v>7.0655461034476873E-4</v>
      </c>
      <c r="P13" s="7">
        <f>$B13 * IFERROR(VLOOKUP("industry|NOx|Non-fatal heart attacks", US_national_yearly!$D:$AM, 24, FALSE) / VLOOKUP("industry|NOx|Non-fatal heart attacks", US_national_yearly!$D:$AM, 10, FALSE), 1)</f>
        <v>7.1348080281889758E-4</v>
      </c>
      <c r="Q13" s="7">
        <f>$B13 * IFERROR(VLOOKUP("industry|NOx|Non-fatal heart attacks", US_national_yearly!$D:$AM, 25, FALSE) / VLOOKUP("industry|NOx|Non-fatal heart attacks", US_national_yearly!$D:$AM, 10, FALSE), 1)</f>
        <v>7.2040699529302631E-4</v>
      </c>
      <c r="R13" s="7">
        <f>$B13 * IFERROR(VLOOKUP("industry|NOx|Non-fatal heart attacks", US_national_yearly!$D:$AM, 26, FALSE) / VLOOKUP("industry|NOx|Non-fatal heart attacks", US_national_yearly!$D:$AM, 10, FALSE), 1)</f>
        <v>7.2733318776715516E-4</v>
      </c>
      <c r="S13" s="7">
        <f>$B13 * IFERROR(VLOOKUP("industry|NOx|Non-fatal heart attacks", US_national_yearly!$D:$AM, 27, FALSE) / VLOOKUP("industry|NOx|Non-fatal heart attacks", US_national_yearly!$D:$AM, 10, FALSE), 1)</f>
        <v>7.3051106302700819E-4</v>
      </c>
      <c r="T13" s="7">
        <f>$B13 * IFERROR(VLOOKUP("industry|NOx|Non-fatal heart attacks", US_national_yearly!$D:$AM, 28, FALSE) / VLOOKUP("industry|NOx|Non-fatal heart attacks", US_national_yearly!$D:$AM, 10, FALSE), 1)</f>
        <v>7.3368893828686121E-4</v>
      </c>
      <c r="U13" s="7">
        <f>$B13 * IFERROR(VLOOKUP("industry|NOx|Non-fatal heart attacks", US_national_yearly!$D:$AM, 29, FALSE) / VLOOKUP("industry|NOx|Non-fatal heart attacks", US_national_yearly!$D:$AM, 10, FALSE), 1)</f>
        <v>7.3686681354671424E-4</v>
      </c>
      <c r="V13" s="7">
        <f>$B13 * IFERROR(VLOOKUP("industry|NOx|Non-fatal heart attacks", US_national_yearly!$D:$AM, 30, FALSE) / VLOOKUP("industry|NOx|Non-fatal heart attacks", US_national_yearly!$D:$AM, 10, FALSE), 1)</f>
        <v>7.4004468880656726E-4</v>
      </c>
      <c r="W13" s="7">
        <f>$B13 * IFERROR(VLOOKUP("industry|NOx|Non-fatal heart attacks", US_national_yearly!$D:$AM, 31, FALSE) / VLOOKUP("industry|NOx|Non-fatal heart attacks", US_national_yearly!$D:$AM, 10, FALSE), 1)</f>
        <v>7.4322256406642029E-4</v>
      </c>
      <c r="X13" s="7">
        <f>$B13 * IFERROR(VLOOKUP("industry|NOx|Non-fatal heart attacks", US_national_yearly!$D:$AM, 32, FALSE) / VLOOKUP("industry|NOx|Non-fatal heart attacks", US_national_yearly!$D:$AM, 10, FALSE), 1)</f>
        <v>7.4536728171593718E-4</v>
      </c>
      <c r="Y13" s="7">
        <f>$B13 * IFERROR(VLOOKUP("industry|NOx|Non-fatal heart attacks", US_national_yearly!$D:$AM, 33, FALSE) / VLOOKUP("industry|NOx|Non-fatal heart attacks", US_national_yearly!$D:$AM, 10, FALSE), 1)</f>
        <v>7.4751199936545407E-4</v>
      </c>
      <c r="Z13" s="7">
        <f>$B13 * IFERROR(VLOOKUP("industry|NOx|Non-fatal heart attacks", US_national_yearly!$D:$AM, 34, FALSE) / VLOOKUP("industry|NOx|Non-fatal heart attacks", US_national_yearly!$D:$AM, 10, FALSE), 1)</f>
        <v>7.4965671701497096E-4</v>
      </c>
      <c r="AA13" s="7">
        <f>$B13 * IFERROR(VLOOKUP("industry|NOx|Non-fatal heart attacks", US_national_yearly!$D:$AM, 35, FALSE) / VLOOKUP("industry|NOx|Non-fatal heart attacks", US_national_yearly!$D:$AM, 10, FALSE), 1)</f>
        <v>7.5180143466448785E-4</v>
      </c>
      <c r="AB13" s="7">
        <f>$B13 * IFERROR(VLOOKUP("industry|NOx|Non-fatal heart attacks", US_national_yearly!$D:$AM, 36, FALSE) / VLOOKUP("industry|NOx|Non-fatal heart attacks", US_national_yearly!$D:$AM, 10, FALSE), 1)</f>
        <v>7.5394615231400475E-4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0.33320623821941625</v>
      </c>
      <c r="C14" s="7">
        <f>$B14 * IFERROR(VLOOKUP("industry|NOx|Minor restricted activity days", US_national_yearly!$D:$AM, 11, FALSE) / VLOOKUP("industry|NOx|Minor restricted activity days", US_national_yearly!$D:$AM, 10, FALSE), 1)</f>
        <v>0.33369990897303647</v>
      </c>
      <c r="D14" s="7">
        <f>$B14 * IFERROR(VLOOKUP("industry|NOx|Minor restricted activity days", US_national_yearly!$D:$AM, 12, FALSE) / VLOOKUP("industry|NOx|Minor restricted activity days", US_national_yearly!$D:$AM, 10, FALSE), 1)</f>
        <v>0.3341935797266567</v>
      </c>
      <c r="E14" s="7">
        <f>$B14 * IFERROR(VLOOKUP("industry|NOx|Minor restricted activity days", US_national_yearly!$D:$AM, 13, FALSE) / VLOOKUP("industry|NOx|Minor restricted activity days", US_national_yearly!$D:$AM, 10, FALSE), 1)</f>
        <v>0.33468725048027692</v>
      </c>
      <c r="F14" s="7">
        <f>$B14 * IFERROR(VLOOKUP("industry|NOx|Minor restricted activity days", US_national_yearly!$D:$AM, 14, FALSE) / VLOOKUP("industry|NOx|Minor restricted activity days", US_national_yearly!$D:$AM, 10, FALSE), 1)</f>
        <v>0.33518092123389709</v>
      </c>
      <c r="G14" s="7">
        <f>$B14 * IFERROR(VLOOKUP("industry|NOx|Minor restricted activity days", US_national_yearly!$D:$AM, 15, FALSE) / VLOOKUP("industry|NOx|Minor restricted activity days", US_national_yearly!$D:$AM, 10, FALSE), 1)</f>
        <v>0.33607960267363757</v>
      </c>
      <c r="H14" s="7">
        <f>$B14 * IFERROR(VLOOKUP("industry|NOx|Minor restricted activity days", US_national_yearly!$D:$AM, 16, FALSE) / VLOOKUP("industry|NOx|Minor restricted activity days", US_national_yearly!$D:$AM, 10, FALSE), 1)</f>
        <v>0.33697828411337799</v>
      </c>
      <c r="I14" s="7">
        <f>$B14 * IFERROR(VLOOKUP("industry|NOx|Minor restricted activity days", US_national_yearly!$D:$AM, 17, FALSE) / VLOOKUP("industry|NOx|Minor restricted activity days", US_national_yearly!$D:$AM, 10, FALSE), 1)</f>
        <v>0.3387474664525979</v>
      </c>
      <c r="J14" s="7">
        <f>$B14 * IFERROR(VLOOKUP("industry|NOx|Minor restricted activity days", US_national_yearly!$D:$AM, 18, FALSE) / VLOOKUP("industry|NOx|Minor restricted activity days", US_national_yearly!$D:$AM, 10, FALSE), 1)</f>
        <v>0.3405166487918177</v>
      </c>
      <c r="K14" s="7">
        <f>$B14 * IFERROR(VLOOKUP("industry|NOx|Minor restricted activity days", US_national_yearly!$D:$AM, 19, FALSE) / VLOOKUP("industry|NOx|Minor restricted activity days", US_national_yearly!$D:$AM, 10, FALSE), 1)</f>
        <v>0.34228583113103744</v>
      </c>
      <c r="L14" s="7">
        <f>$B14 * IFERROR(VLOOKUP("industry|NOx|Minor restricted activity days", US_national_yearly!$D:$AM, 20, FALSE) / VLOOKUP("industry|NOx|Minor restricted activity days", US_national_yearly!$D:$AM, 10, FALSE), 1)</f>
        <v>0.34405501347025735</v>
      </c>
      <c r="M14" s="7">
        <f>$B14 * IFERROR(VLOOKUP("industry|NOx|Minor restricted activity days", US_national_yearly!$D:$AM, 21, FALSE) / VLOOKUP("industry|NOx|Minor restricted activity days", US_national_yearly!$D:$AM, 10, FALSE), 1)</f>
        <v>0.34582419580947721</v>
      </c>
      <c r="N14" s="7">
        <f>$B14 * IFERROR(VLOOKUP("industry|NOx|Minor restricted activity days", US_national_yearly!$D:$AM, 22, FALSE) / VLOOKUP("industry|NOx|Minor restricted activity days", US_national_yearly!$D:$AM, 10, FALSE), 1)</f>
        <v>0.34837193665144806</v>
      </c>
      <c r="O14" s="7">
        <f>$B14 * IFERROR(VLOOKUP("industry|NOx|Minor restricted activity days", US_national_yearly!$D:$AM, 23, FALSE) / VLOOKUP("industry|NOx|Minor restricted activity days", US_national_yearly!$D:$AM, 10, FALSE), 1)</f>
        <v>0.35091967749341896</v>
      </c>
      <c r="P14" s="7">
        <f>$B14 * IFERROR(VLOOKUP("industry|NOx|Minor restricted activity days", US_national_yearly!$D:$AM, 24, FALSE) / VLOOKUP("industry|NOx|Minor restricted activity days", US_national_yearly!$D:$AM, 10, FALSE), 1)</f>
        <v>0.35346741833538992</v>
      </c>
      <c r="Q14" s="7">
        <f>$B14 * IFERROR(VLOOKUP("industry|NOx|Minor restricted activity days", US_national_yearly!$D:$AM, 25, FALSE) / VLOOKUP("industry|NOx|Minor restricted activity days", US_national_yearly!$D:$AM, 10, FALSE), 1)</f>
        <v>0.35601515917736076</v>
      </c>
      <c r="R14" s="7">
        <f>$B14 * IFERROR(VLOOKUP("industry|NOx|Minor restricted activity days", US_national_yearly!$D:$AM, 26, FALSE) / VLOOKUP("industry|NOx|Minor restricted activity days", US_national_yearly!$D:$AM, 10, FALSE), 1)</f>
        <v>0.35856290001933172</v>
      </c>
      <c r="S14" s="7">
        <f>$B14 * IFERROR(VLOOKUP("industry|NOx|Minor restricted activity days", US_national_yearly!$D:$AM, 27, FALSE) / VLOOKUP("industry|NOx|Minor restricted activity days", US_national_yearly!$D:$AM, 10, FALSE), 1)</f>
        <v>0.36111336855882387</v>
      </c>
      <c r="T14" s="7">
        <f>$B14 * IFERROR(VLOOKUP("industry|NOx|Minor restricted activity days", US_national_yearly!$D:$AM, 28, FALSE) / VLOOKUP("industry|NOx|Minor restricted activity days", US_national_yearly!$D:$AM, 10, FALSE), 1)</f>
        <v>0.36366383709831612</v>
      </c>
      <c r="U14" s="7">
        <f>$B14 * IFERROR(VLOOKUP("industry|NOx|Minor restricted activity days", US_national_yearly!$D:$AM, 29, FALSE) / VLOOKUP("industry|NOx|Minor restricted activity days", US_national_yearly!$D:$AM, 10, FALSE), 1)</f>
        <v>0.36621430563780832</v>
      </c>
      <c r="V14" s="7">
        <f>$B14 * IFERROR(VLOOKUP("industry|NOx|Minor restricted activity days", US_national_yearly!$D:$AM, 30, FALSE) / VLOOKUP("industry|NOx|Minor restricted activity days", US_national_yearly!$D:$AM, 10, FALSE), 1)</f>
        <v>0.36876477417730058</v>
      </c>
      <c r="W14" s="7">
        <f>$B14 * IFERROR(VLOOKUP("industry|NOx|Minor restricted activity days", US_national_yearly!$D:$AM, 31, FALSE) / VLOOKUP("industry|NOx|Minor restricted activity days", US_national_yearly!$D:$AM, 10, FALSE), 1)</f>
        <v>0.37131524271679278</v>
      </c>
      <c r="X14" s="7">
        <f>$B14 * IFERROR(VLOOKUP("industry|NOx|Minor restricted activity days", US_national_yearly!$D:$AM, 32, FALSE) / VLOOKUP("industry|NOx|Minor restricted activity days", US_national_yearly!$D:$AM, 10, FALSE), 1)</f>
        <v>0.37346856608186318</v>
      </c>
      <c r="Y14" s="7">
        <f>$B14 * IFERROR(VLOOKUP("industry|NOx|Minor restricted activity days", US_national_yearly!$D:$AM, 33, FALSE) / VLOOKUP("industry|NOx|Minor restricted activity days", US_national_yearly!$D:$AM, 10, FALSE), 1)</f>
        <v>0.37562188944693353</v>
      </c>
      <c r="Z14" s="7">
        <f>$B14 * IFERROR(VLOOKUP("industry|NOx|Minor restricted activity days", US_national_yearly!$D:$AM, 34, FALSE) / VLOOKUP("industry|NOx|Minor restricted activity days", US_national_yearly!$D:$AM, 10, FALSE), 1)</f>
        <v>0.37777521281200388</v>
      </c>
      <c r="AA14" s="7">
        <f>$B14 * IFERROR(VLOOKUP("industry|NOx|Minor restricted activity days", US_national_yearly!$D:$AM, 35, FALSE) / VLOOKUP("industry|NOx|Minor restricted activity days", US_national_yearly!$D:$AM, 10, FALSE), 1)</f>
        <v>0.37992853617707428</v>
      </c>
      <c r="AB14" s="7">
        <f>$B14 * IFERROR(VLOOKUP("industry|NOx|Minor restricted activity days", US_national_yearly!$D:$AM, 36, FALSE) / VLOOKUP("industry|NOx|Minor restricted activity days", US_national_yearly!$D:$AM, 10, FALSE), 1)</f>
        <v>0.38208185954214469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5.6153044781639391E-2</v>
      </c>
      <c r="C15" s="7">
        <f>$B15 * IFERROR(VLOOKUP("industry|NOx|Work loss days", US_national_yearly!$D:$AM, 11, FALSE) / VLOOKUP("industry|NOx|Work loss days", US_national_yearly!$D:$AM, 10, FALSE), 1)</f>
        <v>5.6274710285531951E-2</v>
      </c>
      <c r="D15" s="7">
        <f>$B15 * IFERROR(VLOOKUP("industry|NOx|Work loss days", US_national_yearly!$D:$AM, 12, FALSE) / VLOOKUP("industry|NOx|Work loss days", US_national_yearly!$D:$AM, 10, FALSE), 1)</f>
        <v>5.6396375789424483E-2</v>
      </c>
      <c r="E15" s="7">
        <f>$B15 * IFERROR(VLOOKUP("industry|NOx|Work loss days", US_national_yearly!$D:$AM, 13, FALSE) / VLOOKUP("industry|NOx|Work loss days", US_national_yearly!$D:$AM, 10, FALSE), 1)</f>
        <v>5.6518041293317042E-2</v>
      </c>
      <c r="F15" s="7">
        <f>$B15 * IFERROR(VLOOKUP("industry|NOx|Work loss days", US_national_yearly!$D:$AM, 14, FALSE) / VLOOKUP("industry|NOx|Work loss days", US_national_yearly!$D:$AM, 10, FALSE), 1)</f>
        <v>5.6639706797209595E-2</v>
      </c>
      <c r="G15" s="7">
        <f>$B15 * IFERROR(VLOOKUP("industry|NOx|Work loss days", US_national_yearly!$D:$AM, 15, FALSE) / VLOOKUP("industry|NOx|Work loss days", US_national_yearly!$D:$AM, 10, FALSE), 1)</f>
        <v>5.6817672914808451E-2</v>
      </c>
      <c r="H15" s="7">
        <f>$B15 * IFERROR(VLOOKUP("industry|NOx|Work loss days", US_national_yearly!$D:$AM, 16, FALSE) / VLOOKUP("industry|NOx|Work loss days", US_national_yearly!$D:$AM, 10, FALSE), 1)</f>
        <v>5.6995639032407314E-2</v>
      </c>
      <c r="I15" s="7">
        <f>$B15 * IFERROR(VLOOKUP("industry|NOx|Work loss days", US_national_yearly!$D:$AM, 17, FALSE) / VLOOKUP("industry|NOx|Work loss days", US_national_yearly!$D:$AM, 10, FALSE), 1)</f>
        <v>5.7284788849377093E-2</v>
      </c>
      <c r="J15" s="7">
        <f>$B15 * IFERROR(VLOOKUP("industry|NOx|Work loss days", US_national_yearly!$D:$AM, 18, FALSE) / VLOOKUP("industry|NOx|Work loss days", US_national_yearly!$D:$AM, 10, FALSE), 1)</f>
        <v>5.7573938666346851E-2</v>
      </c>
      <c r="K15" s="7">
        <f>$B15 * IFERROR(VLOOKUP("industry|NOx|Work loss days", US_national_yearly!$D:$AM, 19, FALSE) / VLOOKUP("industry|NOx|Work loss days", US_national_yearly!$D:$AM, 10, FALSE), 1)</f>
        <v>5.786308848331663E-2</v>
      </c>
      <c r="L15" s="7">
        <f>$B15 * IFERROR(VLOOKUP("industry|NOx|Work loss days", US_national_yearly!$D:$AM, 20, FALSE) / VLOOKUP("industry|NOx|Work loss days", US_national_yearly!$D:$AM, 10, FALSE), 1)</f>
        <v>5.8152238300286395E-2</v>
      </c>
      <c r="M15" s="7">
        <f>$B15 * IFERROR(VLOOKUP("industry|NOx|Work loss days", US_national_yearly!$D:$AM, 21, FALSE) / VLOOKUP("industry|NOx|Work loss days", US_national_yearly!$D:$AM, 10, FALSE), 1)</f>
        <v>5.8441388117256167E-2</v>
      </c>
      <c r="N15" s="7">
        <f>$B15 * IFERROR(VLOOKUP("industry|NOx|Work loss days", US_national_yearly!$D:$AM, 22, FALSE) / VLOOKUP("industry|NOx|Work loss days", US_national_yearly!$D:$AM, 10, FALSE), 1)</f>
        <v>5.8819530505394825E-2</v>
      </c>
      <c r="O15" s="7">
        <f>$B15 * IFERROR(VLOOKUP("industry|NOx|Work loss days", US_national_yearly!$D:$AM, 23, FALSE) / VLOOKUP("industry|NOx|Work loss days", US_national_yearly!$D:$AM, 10, FALSE), 1)</f>
        <v>5.9197672893533497E-2</v>
      </c>
      <c r="P15" s="7">
        <f>$B15 * IFERROR(VLOOKUP("industry|NOx|Work loss days", US_national_yearly!$D:$AM, 24, FALSE) / VLOOKUP("industry|NOx|Work loss days", US_national_yearly!$D:$AM, 10, FALSE), 1)</f>
        <v>5.9575815281672155E-2</v>
      </c>
      <c r="Q15" s="7">
        <f>$B15 * IFERROR(VLOOKUP("industry|NOx|Work loss days", US_national_yearly!$D:$AM, 25, FALSE) / VLOOKUP("industry|NOx|Work loss days", US_national_yearly!$D:$AM, 10, FALSE), 1)</f>
        <v>5.9953957669810813E-2</v>
      </c>
      <c r="R15" s="7">
        <f>$B15 * IFERROR(VLOOKUP("industry|NOx|Work loss days", US_national_yearly!$D:$AM, 26, FALSE) / VLOOKUP("industry|NOx|Work loss days", US_national_yearly!$D:$AM, 10, FALSE), 1)</f>
        <v>6.0332100057949485E-2</v>
      </c>
      <c r="S15" s="7">
        <f>$B15 * IFERROR(VLOOKUP("industry|NOx|Work loss days", US_national_yearly!$D:$AM, 27, FALSE) / VLOOKUP("industry|NOx|Work loss days", US_national_yearly!$D:$AM, 10, FALSE), 1)</f>
        <v>6.0754840343082629E-2</v>
      </c>
      <c r="T15" s="7">
        <f>$B15 * IFERROR(VLOOKUP("industry|NOx|Work loss days", US_national_yearly!$D:$AM, 28, FALSE) / VLOOKUP("industry|NOx|Work loss days", US_national_yearly!$D:$AM, 10, FALSE), 1)</f>
        <v>6.117758062821578E-2</v>
      </c>
      <c r="U15" s="7">
        <f>$B15 * IFERROR(VLOOKUP("industry|NOx|Work loss days", US_national_yearly!$D:$AM, 29, FALSE) / VLOOKUP("industry|NOx|Work loss days", US_national_yearly!$D:$AM, 10, FALSE), 1)</f>
        <v>6.1600320913348931E-2</v>
      </c>
      <c r="V15" s="7">
        <f>$B15 * IFERROR(VLOOKUP("industry|NOx|Work loss days", US_national_yearly!$D:$AM, 30, FALSE) / VLOOKUP("industry|NOx|Work loss days", US_national_yearly!$D:$AM, 10, FALSE), 1)</f>
        <v>6.2023061198482068E-2</v>
      </c>
      <c r="W15" s="7">
        <f>$B15 * IFERROR(VLOOKUP("industry|NOx|Work loss days", US_national_yearly!$D:$AM, 31, FALSE) / VLOOKUP("industry|NOx|Work loss days", US_national_yearly!$D:$AM, 10, FALSE), 1)</f>
        <v>6.2445801483615226E-2</v>
      </c>
      <c r="X15" s="7">
        <f>$B15 * IFERROR(VLOOKUP("industry|NOx|Work loss days", US_national_yearly!$D:$AM, 32, FALSE) / VLOOKUP("industry|NOx|Work loss days", US_national_yearly!$D:$AM, 10, FALSE), 1)</f>
        <v>6.2812543424034167E-2</v>
      </c>
      <c r="Y15" s="7">
        <f>$B15 * IFERROR(VLOOKUP("industry|NOx|Work loss days", US_national_yearly!$D:$AM, 33, FALSE) / VLOOKUP("industry|NOx|Work loss days", US_national_yearly!$D:$AM, 10, FALSE), 1)</f>
        <v>6.3179285364453122E-2</v>
      </c>
      <c r="Z15" s="7">
        <f>$B15 * IFERROR(VLOOKUP("industry|NOx|Work loss days", US_national_yearly!$D:$AM, 34, FALSE) / VLOOKUP("industry|NOx|Work loss days", US_national_yearly!$D:$AM, 10, FALSE), 1)</f>
        <v>6.3546027304872063E-2</v>
      </c>
      <c r="AA15" s="7">
        <f>$B15 * IFERROR(VLOOKUP("industry|NOx|Work loss days", US_national_yearly!$D:$AM, 35, FALSE) / VLOOKUP("industry|NOx|Work loss days", US_national_yearly!$D:$AM, 10, FALSE), 1)</f>
        <v>6.3912769245291004E-2</v>
      </c>
      <c r="AB15" s="7">
        <f>$B15 * IFERROR(VLOOKUP("industry|NOx|Work loss days", US_national_yearly!$D:$AM, 36, FALSE) / VLOOKUP("industry|NOx|Work loss days", US_national_yearly!$D:$AM, 10, FALSE), 1)</f>
        <v>6.4279511185709959E-2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1.3661927641381378E-4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1.4063078330038911E-4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1.4464229018696444E-4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1.4865379707353979E-4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1.5266530396011515E-4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1.5647793697993217E-4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1.6029056999974925E-4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1.6350489550652847E-4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1.6671922101330766E-4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1.6993354652008685E-4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1.7314787202686607E-4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1.7636219753364523E-4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1.783744975726594E-4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1.803867976116735E-4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1.8239909765068764E-4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1.8441139768970177E-4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1.8642369772871588E-4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1.8735201131378246E-4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1.8828032489884904E-4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1.8920863848391559E-4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1.9013695206898217E-4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1.9106526565404875E-4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1.9158975634186738E-4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1.92114247029686E-4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1.9263873771750462E-4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1.9316322840532324E-4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1.9368771909314189E-4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3.0261565452175771E-3</v>
      </c>
      <c r="C2" s="7">
        <f>$B2 * IFERROR(VLOOKUP("industry|SO2|Premature mortality", US_national_yearly!$D:$AM, 11, FALSE) / VLOOKUP("industry|SO2|Premature mortality", US_national_yearly!$D:$AM, 10, FALSE), 1)</f>
        <v>3.0645188372842164E-3</v>
      </c>
      <c r="D2" s="7">
        <f>$B2 * IFERROR(VLOOKUP("industry|SO2|Premature mortality", US_national_yearly!$D:$AM, 12, FALSE) / VLOOKUP("industry|SO2|Premature mortality", US_national_yearly!$D:$AM, 10, FALSE), 1)</f>
        <v>3.1028811293508552E-3</v>
      </c>
      <c r="E2" s="7">
        <f>$B2 * IFERROR(VLOOKUP("industry|SO2|Premature mortality", US_national_yearly!$D:$AM, 13, FALSE) / VLOOKUP("industry|SO2|Premature mortality", US_national_yearly!$D:$AM, 10, FALSE), 1)</f>
        <v>3.1412434214174939E-3</v>
      </c>
      <c r="F2" s="7">
        <f>$B2 * IFERROR(VLOOKUP("industry|SO2|Premature mortality", US_national_yearly!$D:$AM, 14, FALSE) / VLOOKUP("industry|SO2|Premature mortality", US_national_yearly!$D:$AM, 10, FALSE), 1)</f>
        <v>3.1796057134841336E-3</v>
      </c>
      <c r="G2" s="7">
        <f>$B2 * IFERROR(VLOOKUP("industry|SO2|Premature mortality", US_national_yearly!$D:$AM, 15, FALSE) / VLOOKUP("industry|SO2|Premature mortality", US_national_yearly!$D:$AM, 10, FALSE), 1)</f>
        <v>3.2535476356520946E-3</v>
      </c>
      <c r="H2" s="7">
        <f>$B2 * IFERROR(VLOOKUP("industry|SO2|Premature mortality", US_national_yearly!$D:$AM, 16, FALSE) / VLOOKUP("industry|SO2|Premature mortality", US_national_yearly!$D:$AM, 10, FALSE), 1)</f>
        <v>3.3274895578200552E-3</v>
      </c>
      <c r="I2" s="7">
        <f>$B2 * IFERROR(VLOOKUP("industry|SO2|Premature mortality", US_national_yearly!$D:$AM, 17, FALSE) / VLOOKUP("industry|SO2|Premature mortality", US_national_yearly!$D:$AM, 10, FALSE), 1)</f>
        <v>3.3764517344769479E-3</v>
      </c>
      <c r="J2" s="7">
        <f>$B2 * IFERROR(VLOOKUP("industry|SO2|Premature mortality", US_national_yearly!$D:$AM, 18, FALSE) / VLOOKUP("industry|SO2|Premature mortality", US_national_yearly!$D:$AM, 10, FALSE), 1)</f>
        <v>3.4254139111338398E-3</v>
      </c>
      <c r="K2" s="7">
        <f>$B2 * IFERROR(VLOOKUP("industry|SO2|Premature mortality", US_national_yearly!$D:$AM, 19, FALSE) / VLOOKUP("industry|SO2|Premature mortality", US_national_yearly!$D:$AM, 10, FALSE), 1)</f>
        <v>3.4743760877907321E-3</v>
      </c>
      <c r="L2" s="7">
        <f>$B2 * IFERROR(VLOOKUP("industry|SO2|Premature mortality", US_national_yearly!$D:$AM, 20, FALSE) / VLOOKUP("industry|SO2|Premature mortality", US_national_yearly!$D:$AM, 10, FALSE), 1)</f>
        <v>3.5233382644476244E-3</v>
      </c>
      <c r="M2" s="7">
        <f>$B2 * IFERROR(VLOOKUP("industry|SO2|Premature mortality", US_national_yearly!$D:$AM, 21, FALSE) / VLOOKUP("industry|SO2|Premature mortality", US_national_yearly!$D:$AM, 10, FALSE), 1)</f>
        <v>3.5723004411045167E-3</v>
      </c>
      <c r="N2" s="7">
        <f>$B2 * IFERROR(VLOOKUP("industry|SO2|Premature mortality", US_national_yearly!$D:$AM, 22, FALSE) / VLOOKUP("industry|SO2|Premature mortality", US_national_yearly!$D:$AM, 10, FALSE), 1)</f>
        <v>3.6106005045639842E-3</v>
      </c>
      <c r="O2" s="7">
        <f>$B2 * IFERROR(VLOOKUP("industry|SO2|Premature mortality", US_national_yearly!$D:$AM, 23, FALSE) / VLOOKUP("industry|SO2|Premature mortality", US_national_yearly!$D:$AM, 10, FALSE), 1)</f>
        <v>3.6489005680234521E-3</v>
      </c>
      <c r="P2" s="7">
        <f>$B2 * IFERROR(VLOOKUP("industry|SO2|Premature mortality", US_national_yearly!$D:$AM, 24, FALSE) / VLOOKUP("industry|SO2|Premature mortality", US_national_yearly!$D:$AM, 10, FALSE), 1)</f>
        <v>3.6872006314829201E-3</v>
      </c>
      <c r="Q2" s="7">
        <f>$B2 * IFERROR(VLOOKUP("industry|SO2|Premature mortality", US_national_yearly!$D:$AM, 25, FALSE) / VLOOKUP("industry|SO2|Premature mortality", US_national_yearly!$D:$AM, 10, FALSE), 1)</f>
        <v>3.7255006949423876E-3</v>
      </c>
      <c r="R2" s="7">
        <f>$B2 * IFERROR(VLOOKUP("industry|SO2|Premature mortality", US_national_yearly!$D:$AM, 26, FALSE) / VLOOKUP("industry|SO2|Premature mortality", US_national_yearly!$D:$AM, 10, FALSE), 1)</f>
        <v>3.7638007584018555E-3</v>
      </c>
      <c r="S2" s="7">
        <f>$B2 * IFERROR(VLOOKUP("industry|SO2|Premature mortality", US_national_yearly!$D:$AM, 27, FALSE) / VLOOKUP("industry|SO2|Premature mortality", US_national_yearly!$D:$AM, 10, FALSE), 1)</f>
        <v>3.7844806826932858E-3</v>
      </c>
      <c r="T2" s="7">
        <f>$B2 * IFERROR(VLOOKUP("industry|SO2|Premature mortality", US_national_yearly!$D:$AM, 28, FALSE) / VLOOKUP("industry|SO2|Premature mortality", US_national_yearly!$D:$AM, 10, FALSE), 1)</f>
        <v>3.8051606069847165E-3</v>
      </c>
      <c r="U2" s="7">
        <f>$B2 * IFERROR(VLOOKUP("industry|SO2|Premature mortality", US_national_yearly!$D:$AM, 29, FALSE) / VLOOKUP("industry|SO2|Premature mortality", US_national_yearly!$D:$AM, 10, FALSE), 1)</f>
        <v>3.8258405312761481E-3</v>
      </c>
      <c r="V2" s="7">
        <f>$B2 * IFERROR(VLOOKUP("industry|SO2|Premature mortality", US_national_yearly!$D:$AM, 30, FALSE) / VLOOKUP("industry|SO2|Premature mortality", US_national_yearly!$D:$AM, 10, FALSE), 1)</f>
        <v>3.8465204555675789E-3</v>
      </c>
      <c r="W2" s="7">
        <f>$B2 * IFERROR(VLOOKUP("industry|SO2|Premature mortality", US_national_yearly!$D:$AM, 31, FALSE) / VLOOKUP("industry|SO2|Premature mortality", US_national_yearly!$D:$AM, 10, FALSE), 1)</f>
        <v>3.8672003798590096E-3</v>
      </c>
      <c r="X2" s="7">
        <f>$B2 * IFERROR(VLOOKUP("industry|SO2|Premature mortality", US_national_yearly!$D:$AM, 32, FALSE) / VLOOKUP("industry|SO2|Premature mortality", US_national_yearly!$D:$AM, 10, FALSE), 1)</f>
        <v>3.8716513305918133E-3</v>
      </c>
      <c r="Y2" s="7">
        <f>$B2 * IFERROR(VLOOKUP("industry|SO2|Premature mortality", US_national_yearly!$D:$AM, 33, FALSE) / VLOOKUP("industry|SO2|Premature mortality", US_national_yearly!$D:$AM, 10, FALSE), 1)</f>
        <v>3.8761022813246166E-3</v>
      </c>
      <c r="Z2" s="7">
        <f>$B2 * IFERROR(VLOOKUP("industry|SO2|Premature mortality", US_national_yearly!$D:$AM, 34, FALSE) / VLOOKUP("industry|SO2|Premature mortality", US_national_yearly!$D:$AM, 10, FALSE), 1)</f>
        <v>3.8805532320574207E-3</v>
      </c>
      <c r="AA2" s="7">
        <f>$B2 * IFERROR(VLOOKUP("industry|SO2|Premature mortality", US_national_yearly!$D:$AM, 35, FALSE) / VLOOKUP("industry|SO2|Premature mortality", US_national_yearly!$D:$AM, 10, FALSE), 1)</f>
        <v>3.885004182790224E-3</v>
      </c>
      <c r="AB2" s="7">
        <f>$B2 * IFERROR(VLOOKUP("industry|SO2|Premature mortality", US_national_yearly!$D:$AM, 36, FALSE) / VLOOKUP("industry|SO2|Premature mortality", US_national_yearly!$D:$AM, 10, FALSE), 1)</f>
        <v>3.8894551335230277E-3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7.226475617107581E-6</v>
      </c>
      <c r="C3" s="7">
        <f>$B3 * IFERROR(VLOOKUP("industry|SO2|Infant mortality", US_national_yearly!$D:$AM, 11, FALSE) / VLOOKUP("industry|SO2|Infant mortality", US_national_yearly!$D:$AM, 10, FALSE), 1)</f>
        <v>7.1643056900912206E-6</v>
      </c>
      <c r="D3" s="7">
        <f>$B3 * IFERROR(VLOOKUP("industry|SO2|Infant mortality", US_national_yearly!$D:$AM, 12, FALSE) / VLOOKUP("industry|SO2|Infant mortality", US_national_yearly!$D:$AM, 10, FALSE), 1)</f>
        <v>7.102135763074862E-6</v>
      </c>
      <c r="E3" s="7">
        <f>$B3 * IFERROR(VLOOKUP("industry|SO2|Infant mortality", US_national_yearly!$D:$AM, 13, FALSE) / VLOOKUP("industry|SO2|Infant mortality", US_national_yearly!$D:$AM, 10, FALSE), 1)</f>
        <v>7.0399658360585017E-6</v>
      </c>
      <c r="F3" s="7">
        <f>$B3 * IFERROR(VLOOKUP("industry|SO2|Infant mortality", US_national_yearly!$D:$AM, 14, FALSE) / VLOOKUP("industry|SO2|Infant mortality", US_national_yearly!$D:$AM, 10, FALSE), 1)</f>
        <v>6.9777959090421431E-6</v>
      </c>
      <c r="G3" s="7">
        <f>$B3 * IFERROR(VLOOKUP("industry|SO2|Infant mortality", US_national_yearly!$D:$AM, 15, FALSE) / VLOOKUP("industry|SO2|Infant mortality", US_national_yearly!$D:$AM, 10, FALSE), 1)</f>
        <v>4.6451071972398894E-6</v>
      </c>
      <c r="H3" s="7">
        <f>$B3 * IFERROR(VLOOKUP("industry|SO2|Infant mortality", US_national_yearly!$D:$AM, 16, FALSE) / VLOOKUP("industry|SO2|Infant mortality", US_national_yearly!$D:$AM, 10, FALSE), 1)</f>
        <v>2.3124184854376358E-6</v>
      </c>
      <c r="I3" s="7">
        <f>$B3 * IFERROR(VLOOKUP("industry|SO2|Infant mortality", US_national_yearly!$D:$AM, 17, FALSE) / VLOOKUP("industry|SO2|Infant mortality", US_national_yearly!$D:$AM, 10, FALSE), 1)</f>
        <v>2.2977348252829726E-6</v>
      </c>
      <c r="J3" s="7">
        <f>$B3 * IFERROR(VLOOKUP("industry|SO2|Infant mortality", US_national_yearly!$D:$AM, 18, FALSE) / VLOOKUP("industry|SO2|Infant mortality", US_national_yearly!$D:$AM, 10, FALSE), 1)</f>
        <v>2.2830511651283098E-6</v>
      </c>
      <c r="K3" s="7">
        <f>$B3 * IFERROR(VLOOKUP("industry|SO2|Infant mortality", US_national_yearly!$D:$AM, 19, FALSE) / VLOOKUP("industry|SO2|Infant mortality", US_national_yearly!$D:$AM, 10, FALSE), 1)</f>
        <v>2.2683675049736466E-6</v>
      </c>
      <c r="L3" s="7">
        <f>$B3 * IFERROR(VLOOKUP("industry|SO2|Infant mortality", US_national_yearly!$D:$AM, 20, FALSE) / VLOOKUP("industry|SO2|Infant mortality", US_national_yearly!$D:$AM, 10, FALSE), 1)</f>
        <v>2.2536838448189838E-6</v>
      </c>
      <c r="M3" s="7">
        <f>$B3 * IFERROR(VLOOKUP("industry|SO2|Infant mortality", US_national_yearly!$D:$AM, 21, FALSE) / VLOOKUP("industry|SO2|Infant mortality", US_national_yearly!$D:$AM, 10, FALSE), 1)</f>
        <v>2.2390001846643206E-6</v>
      </c>
      <c r="N3" s="7">
        <f>$B3 * IFERROR(VLOOKUP("industry|SO2|Infant mortality", US_national_yearly!$D:$AM, 22, FALSE) / VLOOKUP("industry|SO2|Infant mortality", US_national_yearly!$D:$AM, 10, FALSE), 1)</f>
        <v>2.2296936118752279E-6</v>
      </c>
      <c r="O3" s="7">
        <f>$B3 * IFERROR(VLOOKUP("industry|SO2|Infant mortality", US_national_yearly!$D:$AM, 23, FALSE) / VLOOKUP("industry|SO2|Infant mortality", US_national_yearly!$D:$AM, 10, FALSE), 1)</f>
        <v>2.2203870390861357E-6</v>
      </c>
      <c r="P3" s="7">
        <f>$B3 * IFERROR(VLOOKUP("industry|SO2|Infant mortality", US_national_yearly!$D:$AM, 24, FALSE) / VLOOKUP("industry|SO2|Infant mortality", US_national_yearly!$D:$AM, 10, FALSE), 1)</f>
        <v>2.211080466297043E-6</v>
      </c>
      <c r="Q3" s="7">
        <f>$B3 * IFERROR(VLOOKUP("industry|SO2|Infant mortality", US_national_yearly!$D:$AM, 25, FALSE) / VLOOKUP("industry|SO2|Infant mortality", US_national_yearly!$D:$AM, 10, FALSE), 1)</f>
        <v>2.2017738935079507E-6</v>
      </c>
      <c r="R3" s="7">
        <f>$B3 * IFERROR(VLOOKUP("industry|SO2|Infant mortality", US_national_yearly!$D:$AM, 26, FALSE) / VLOOKUP("industry|SO2|Infant mortality", US_national_yearly!$D:$AM, 10, FALSE), 1)</f>
        <v>2.192467320718858E-6</v>
      </c>
      <c r="S3" s="7">
        <f>$B3 * IFERROR(VLOOKUP("industry|SO2|Infant mortality", US_national_yearly!$D:$AM, 27, FALSE) / VLOOKUP("industry|SO2|Infant mortality", US_national_yearly!$D:$AM, 10, FALSE), 1)</f>
        <v>2.1808853970492753E-6</v>
      </c>
      <c r="T3" s="7">
        <f>$B3 * IFERROR(VLOOKUP("industry|SO2|Infant mortality", US_national_yearly!$D:$AM, 28, FALSE) / VLOOKUP("industry|SO2|Infant mortality", US_national_yearly!$D:$AM, 10, FALSE), 1)</f>
        <v>2.1693034733796926E-6</v>
      </c>
      <c r="U3" s="7">
        <f>$B3 * IFERROR(VLOOKUP("industry|SO2|Infant mortality", US_national_yearly!$D:$AM, 29, FALSE) / VLOOKUP("industry|SO2|Infant mortality", US_national_yearly!$D:$AM, 10, FALSE), 1)</f>
        <v>2.1577215497101099E-6</v>
      </c>
      <c r="V3" s="7">
        <f>$B3 * IFERROR(VLOOKUP("industry|SO2|Infant mortality", US_national_yearly!$D:$AM, 30, FALSE) / VLOOKUP("industry|SO2|Infant mortality", US_national_yearly!$D:$AM, 10, FALSE), 1)</f>
        <v>2.1461396260405268E-6</v>
      </c>
      <c r="W3" s="7">
        <f>$B3 * IFERROR(VLOOKUP("industry|SO2|Infant mortality", US_national_yearly!$D:$AM, 31, FALSE) / VLOOKUP("industry|SO2|Infant mortality", US_national_yearly!$D:$AM, 10, FALSE), 1)</f>
        <v>2.134557702370944E-6</v>
      </c>
      <c r="X3" s="7">
        <f>$B3 * IFERROR(VLOOKUP("industry|SO2|Infant mortality", US_national_yearly!$D:$AM, 32, FALSE) / VLOOKUP("industry|SO2|Infant mortality", US_national_yearly!$D:$AM, 10, FALSE), 1)</f>
        <v>2.1219716076324183E-6</v>
      </c>
      <c r="Y3" s="7">
        <f>$B3 * IFERROR(VLOOKUP("industry|SO2|Infant mortality", US_national_yearly!$D:$AM, 33, FALSE) / VLOOKUP("industry|SO2|Infant mortality", US_national_yearly!$D:$AM, 10, FALSE), 1)</f>
        <v>2.1093855128938921E-6</v>
      </c>
      <c r="Z3" s="7">
        <f>$B3 * IFERROR(VLOOKUP("industry|SO2|Infant mortality", US_national_yearly!$D:$AM, 34, FALSE) / VLOOKUP("industry|SO2|Infant mortality", US_national_yearly!$D:$AM, 10, FALSE), 1)</f>
        <v>2.0967994181553659E-6</v>
      </c>
      <c r="AA3" s="7">
        <f>$B3 * IFERROR(VLOOKUP("industry|SO2|Infant mortality", US_national_yearly!$D:$AM, 35, FALSE) / VLOOKUP("industry|SO2|Infant mortality", US_national_yearly!$D:$AM, 10, FALSE), 1)</f>
        <v>2.0842133234168398E-6</v>
      </c>
      <c r="AB3" s="7">
        <f>$B3 * IFERROR(VLOOKUP("industry|SO2|Infant mortality", US_national_yearly!$D:$AM, 36, FALSE) / VLOOKUP("industry|SO2|Infant mortality", US_national_yearly!$D:$AM, 10, FALSE), 1)</f>
        <v>2.071627228678314E-6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6.2930838651303438E-3</v>
      </c>
      <c r="C6" s="7">
        <f>$B6 * IFERROR(VLOOKUP("industry|SO2|Asthma symptoms cough", US_national_yearly!$D:$AM, 11, FALSE) / VLOOKUP("industry|SO2|Asthma symptoms cough", US_national_yearly!$D:$AM, 10, FALSE), 1)</f>
        <v>6.2930838651303438E-3</v>
      </c>
      <c r="D6" s="7">
        <f>$B6 * IFERROR(VLOOKUP("industry|SO2|Asthma symptoms cough", US_national_yearly!$D:$AM, 12, FALSE) / VLOOKUP("industry|SO2|Asthma symptoms cough", US_national_yearly!$D:$AM, 10, FALSE), 1)</f>
        <v>6.2930838651303438E-3</v>
      </c>
      <c r="E6" s="7">
        <f>$B6 * IFERROR(VLOOKUP("industry|SO2|Asthma symptoms cough", US_national_yearly!$D:$AM, 13, FALSE) / VLOOKUP("industry|SO2|Asthma symptoms cough", US_national_yearly!$D:$AM, 10, FALSE), 1)</f>
        <v>6.2930838651303438E-3</v>
      </c>
      <c r="F6" s="7">
        <f>$B6 * IFERROR(VLOOKUP("industry|SO2|Asthma symptoms cough", US_national_yearly!$D:$AM, 14, FALSE) / VLOOKUP("industry|SO2|Asthma symptoms cough", US_national_yearly!$D:$AM, 10, FALSE), 1)</f>
        <v>6.2930838651303438E-3</v>
      </c>
      <c r="G6" s="7">
        <f>$B6 * IFERROR(VLOOKUP("industry|SO2|Asthma symptoms cough", US_national_yearly!$D:$AM, 15, FALSE) / VLOOKUP("industry|SO2|Asthma symptoms cough", US_national_yearly!$D:$AM, 10, FALSE), 1)</f>
        <v>6.2930838651303438E-3</v>
      </c>
      <c r="H6" s="7">
        <f>$B6 * IFERROR(VLOOKUP("industry|SO2|Asthma symptoms cough", US_national_yearly!$D:$AM, 16, FALSE) / VLOOKUP("industry|SO2|Asthma symptoms cough", US_national_yearly!$D:$AM, 10, FALSE), 1)</f>
        <v>6.2930838651303438E-3</v>
      </c>
      <c r="I6" s="7">
        <f>$B6 * IFERROR(VLOOKUP("industry|SO2|Asthma symptoms cough", US_national_yearly!$D:$AM, 17, FALSE) / VLOOKUP("industry|SO2|Asthma symptoms cough", US_national_yearly!$D:$AM, 10, FALSE), 1)</f>
        <v>6.2930838651303438E-3</v>
      </c>
      <c r="J6" s="7">
        <f>$B6 * IFERROR(VLOOKUP("industry|SO2|Asthma symptoms cough", US_national_yearly!$D:$AM, 18, FALSE) / VLOOKUP("industry|SO2|Asthma symptoms cough", US_national_yearly!$D:$AM, 10, FALSE), 1)</f>
        <v>6.2930838651303438E-3</v>
      </c>
      <c r="K6" s="7">
        <f>$B6 * IFERROR(VLOOKUP("industry|SO2|Asthma symptoms cough", US_national_yearly!$D:$AM, 19, FALSE) / VLOOKUP("industry|SO2|Asthma symptoms cough", US_national_yearly!$D:$AM, 10, FALSE), 1)</f>
        <v>6.2930838651303438E-3</v>
      </c>
      <c r="L6" s="7">
        <f>$B6 * IFERROR(VLOOKUP("industry|SO2|Asthma symptoms cough", US_national_yearly!$D:$AM, 20, FALSE) / VLOOKUP("industry|SO2|Asthma symptoms cough", US_national_yearly!$D:$AM, 10, FALSE), 1)</f>
        <v>6.2930838651303438E-3</v>
      </c>
      <c r="M6" s="7">
        <f>$B6 * IFERROR(VLOOKUP("industry|SO2|Asthma symptoms cough", US_national_yearly!$D:$AM, 21, FALSE) / VLOOKUP("industry|SO2|Asthma symptoms cough", US_national_yearly!$D:$AM, 10, FALSE), 1)</f>
        <v>6.2930838651303438E-3</v>
      </c>
      <c r="N6" s="7">
        <f>$B6 * IFERROR(VLOOKUP("industry|SO2|Asthma symptoms cough", US_national_yearly!$D:$AM, 22, FALSE) / VLOOKUP("industry|SO2|Asthma symptoms cough", US_national_yearly!$D:$AM, 10, FALSE), 1)</f>
        <v>6.2930838651303438E-3</v>
      </c>
      <c r="O6" s="7">
        <f>$B6 * IFERROR(VLOOKUP("industry|SO2|Asthma symptoms cough", US_national_yearly!$D:$AM, 23, FALSE) / VLOOKUP("industry|SO2|Asthma symptoms cough", US_national_yearly!$D:$AM, 10, FALSE), 1)</f>
        <v>6.2930838651303438E-3</v>
      </c>
      <c r="P6" s="7">
        <f>$B6 * IFERROR(VLOOKUP("industry|SO2|Asthma symptoms cough", US_national_yearly!$D:$AM, 24, FALSE) / VLOOKUP("industry|SO2|Asthma symptoms cough", US_national_yearly!$D:$AM, 10, FALSE), 1)</f>
        <v>6.2930838651303438E-3</v>
      </c>
      <c r="Q6" s="7">
        <f>$B6 * IFERROR(VLOOKUP("industry|SO2|Asthma symptoms cough", US_national_yearly!$D:$AM, 25, FALSE) / VLOOKUP("industry|SO2|Asthma symptoms cough", US_national_yearly!$D:$AM, 10, FALSE), 1)</f>
        <v>6.2930838651303438E-3</v>
      </c>
      <c r="R6" s="7">
        <f>$B6 * IFERROR(VLOOKUP("industry|SO2|Asthma symptoms cough", US_national_yearly!$D:$AM, 26, FALSE) / VLOOKUP("industry|SO2|Asthma symptoms cough", US_national_yearly!$D:$AM, 10, FALSE), 1)</f>
        <v>6.2930838651303438E-3</v>
      </c>
      <c r="S6" s="7">
        <f>$B6 * IFERROR(VLOOKUP("industry|SO2|Asthma symptoms cough", US_national_yearly!$D:$AM, 27, FALSE) / VLOOKUP("industry|SO2|Asthma symptoms cough", US_national_yearly!$D:$AM, 10, FALSE), 1)</f>
        <v>6.2930838651303438E-3</v>
      </c>
      <c r="T6" s="7">
        <f>$B6 * IFERROR(VLOOKUP("industry|SO2|Asthma symptoms cough", US_national_yearly!$D:$AM, 28, FALSE) / VLOOKUP("industry|SO2|Asthma symptoms cough", US_national_yearly!$D:$AM, 10, FALSE), 1)</f>
        <v>6.2930838651303438E-3</v>
      </c>
      <c r="U6" s="7">
        <f>$B6 * IFERROR(VLOOKUP("industry|SO2|Asthma symptoms cough", US_national_yearly!$D:$AM, 29, FALSE) / VLOOKUP("industry|SO2|Asthma symptoms cough", US_national_yearly!$D:$AM, 10, FALSE), 1)</f>
        <v>6.2930838651303438E-3</v>
      </c>
      <c r="V6" s="7">
        <f>$B6 * IFERROR(VLOOKUP("industry|SO2|Asthma symptoms cough", US_national_yearly!$D:$AM, 30, FALSE) / VLOOKUP("industry|SO2|Asthma symptoms cough", US_national_yearly!$D:$AM, 10, FALSE), 1)</f>
        <v>6.2930838651303438E-3</v>
      </c>
      <c r="W6" s="7">
        <f>$B6 * IFERROR(VLOOKUP("industry|SO2|Asthma symptoms cough", US_national_yearly!$D:$AM, 31, FALSE) / VLOOKUP("industry|SO2|Asthma symptoms cough", US_national_yearly!$D:$AM, 10, FALSE), 1)</f>
        <v>6.2930838651303438E-3</v>
      </c>
      <c r="X6" s="7">
        <f>$B6 * IFERROR(VLOOKUP("industry|SO2|Asthma symptoms cough", US_national_yearly!$D:$AM, 32, FALSE) / VLOOKUP("industry|SO2|Asthma symptoms cough", US_national_yearly!$D:$AM, 10, FALSE), 1)</f>
        <v>6.2930838651303438E-3</v>
      </c>
      <c r="Y6" s="7">
        <f>$B6 * IFERROR(VLOOKUP("industry|SO2|Asthma symptoms cough", US_national_yearly!$D:$AM, 33, FALSE) / VLOOKUP("industry|SO2|Asthma symptoms cough", US_national_yearly!$D:$AM, 10, FALSE), 1)</f>
        <v>6.2930838651303438E-3</v>
      </c>
      <c r="Z6" s="7">
        <f>$B6 * IFERROR(VLOOKUP("industry|SO2|Asthma symptoms cough", US_national_yearly!$D:$AM, 34, FALSE) / VLOOKUP("industry|SO2|Asthma symptoms cough", US_national_yearly!$D:$AM, 10, FALSE), 1)</f>
        <v>6.2930838651303438E-3</v>
      </c>
      <c r="AA6" s="7">
        <f>$B6 * IFERROR(VLOOKUP("industry|SO2|Asthma symptoms cough", US_national_yearly!$D:$AM, 35, FALSE) / VLOOKUP("industry|SO2|Asthma symptoms cough", US_national_yearly!$D:$AM, 10, FALSE), 1)</f>
        <v>6.2930838651303438E-3</v>
      </c>
      <c r="AB6" s="7">
        <f>$B6 * IFERROR(VLOOKUP("industry|SO2|Asthma symptoms cough", US_national_yearly!$D:$AM, 36, FALSE) / VLOOKUP("industry|SO2|Asthma symptoms cough", US_national_yearly!$D:$AM, 10, FALSE), 1)</f>
        <v>6.2930838651303438E-3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8.4744837799733113E-3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8.4744837799733113E-3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8.4744837799733113E-3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8.4744837799733113E-3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8.4744837799733113E-3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8.4744837799733113E-3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8.4744837799733113E-3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8.4744837799733113E-3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8.4744837799733113E-3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8.4744837799733113E-3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8.4744837799733113E-3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8.4744837799733113E-3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8.4744837799733113E-3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8.4744837799733113E-3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8.4744837799733113E-3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8.4744837799733113E-3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8.4744837799733113E-3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8.4744837799733113E-3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8.4744837799733113E-3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8.4744837799733113E-3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8.4744837799733113E-3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8.4744837799733113E-3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8.4744837799733113E-3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8.4744837799733113E-3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8.4744837799733113E-3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8.4744837799733113E-3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8.4744837799733113E-3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1.2947813238797517E-2</v>
      </c>
      <c r="C8" s="7">
        <f>$B8 * IFERROR(VLOOKUP("industry|SO2|Asthma symptoms wheeze", US_national_yearly!$D:$AM, 11, FALSE) / VLOOKUP("industry|SO2|Asthma symptoms wheeze", US_national_yearly!$D:$AM, 10, FALSE), 1)</f>
        <v>1.2947813238797517E-2</v>
      </c>
      <c r="D8" s="7">
        <f>$B8 * IFERROR(VLOOKUP("industry|SO2|Asthma symptoms wheeze", US_national_yearly!$D:$AM, 12, FALSE) / VLOOKUP("industry|SO2|Asthma symptoms wheeze", US_national_yearly!$D:$AM, 10, FALSE), 1)</f>
        <v>1.2947813238797517E-2</v>
      </c>
      <c r="E8" s="7">
        <f>$B8 * IFERROR(VLOOKUP("industry|SO2|Asthma symptoms wheeze", US_national_yearly!$D:$AM, 13, FALSE) / VLOOKUP("industry|SO2|Asthma symptoms wheeze", US_national_yearly!$D:$AM, 10, FALSE), 1)</f>
        <v>1.2947813238797517E-2</v>
      </c>
      <c r="F8" s="7">
        <f>$B8 * IFERROR(VLOOKUP("industry|SO2|Asthma symptoms wheeze", US_national_yearly!$D:$AM, 14, FALSE) / VLOOKUP("industry|SO2|Asthma symptoms wheeze", US_national_yearly!$D:$AM, 10, FALSE), 1)</f>
        <v>1.2947813238797517E-2</v>
      </c>
      <c r="G8" s="7">
        <f>$B8 * IFERROR(VLOOKUP("industry|SO2|Asthma symptoms wheeze", US_national_yearly!$D:$AM, 15, FALSE) / VLOOKUP("industry|SO2|Asthma symptoms wheeze", US_national_yearly!$D:$AM, 10, FALSE), 1)</f>
        <v>1.2947813238797517E-2</v>
      </c>
      <c r="H8" s="7">
        <f>$B8 * IFERROR(VLOOKUP("industry|SO2|Asthma symptoms wheeze", US_national_yearly!$D:$AM, 16, FALSE) / VLOOKUP("industry|SO2|Asthma symptoms wheeze", US_national_yearly!$D:$AM, 10, FALSE), 1)</f>
        <v>1.2947813238797517E-2</v>
      </c>
      <c r="I8" s="7">
        <f>$B8 * IFERROR(VLOOKUP("industry|SO2|Asthma symptoms wheeze", US_national_yearly!$D:$AM, 17, FALSE) / VLOOKUP("industry|SO2|Asthma symptoms wheeze", US_national_yearly!$D:$AM, 10, FALSE), 1)</f>
        <v>1.2947813238797517E-2</v>
      </c>
      <c r="J8" s="7">
        <f>$B8 * IFERROR(VLOOKUP("industry|SO2|Asthma symptoms wheeze", US_national_yearly!$D:$AM, 18, FALSE) / VLOOKUP("industry|SO2|Asthma symptoms wheeze", US_national_yearly!$D:$AM, 10, FALSE), 1)</f>
        <v>1.2947813238797517E-2</v>
      </c>
      <c r="K8" s="7">
        <f>$B8 * IFERROR(VLOOKUP("industry|SO2|Asthma symptoms wheeze", US_national_yearly!$D:$AM, 19, FALSE) / VLOOKUP("industry|SO2|Asthma symptoms wheeze", US_national_yearly!$D:$AM, 10, FALSE), 1)</f>
        <v>1.2947813238797517E-2</v>
      </c>
      <c r="L8" s="7">
        <f>$B8 * IFERROR(VLOOKUP("industry|SO2|Asthma symptoms wheeze", US_national_yearly!$D:$AM, 20, FALSE) / VLOOKUP("industry|SO2|Asthma symptoms wheeze", US_national_yearly!$D:$AM, 10, FALSE), 1)</f>
        <v>1.2947813238797517E-2</v>
      </c>
      <c r="M8" s="7">
        <f>$B8 * IFERROR(VLOOKUP("industry|SO2|Asthma symptoms wheeze", US_national_yearly!$D:$AM, 21, FALSE) / VLOOKUP("industry|SO2|Asthma symptoms wheeze", US_national_yearly!$D:$AM, 10, FALSE), 1)</f>
        <v>1.2947813238797517E-2</v>
      </c>
      <c r="N8" s="7">
        <f>$B8 * IFERROR(VLOOKUP("industry|SO2|Asthma symptoms wheeze", US_national_yearly!$D:$AM, 22, FALSE) / VLOOKUP("industry|SO2|Asthma symptoms wheeze", US_national_yearly!$D:$AM, 10, FALSE), 1)</f>
        <v>1.2947813238797517E-2</v>
      </c>
      <c r="O8" s="7">
        <f>$B8 * IFERROR(VLOOKUP("industry|SO2|Asthma symptoms wheeze", US_national_yearly!$D:$AM, 23, FALSE) / VLOOKUP("industry|SO2|Asthma symptoms wheeze", US_national_yearly!$D:$AM, 10, FALSE), 1)</f>
        <v>1.2947813238797517E-2</v>
      </c>
      <c r="P8" s="7">
        <f>$B8 * IFERROR(VLOOKUP("industry|SO2|Asthma symptoms wheeze", US_national_yearly!$D:$AM, 24, FALSE) / VLOOKUP("industry|SO2|Asthma symptoms wheeze", US_national_yearly!$D:$AM, 10, FALSE), 1)</f>
        <v>1.2947813238797517E-2</v>
      </c>
      <c r="Q8" s="7">
        <f>$B8 * IFERROR(VLOOKUP("industry|SO2|Asthma symptoms wheeze", US_national_yearly!$D:$AM, 25, FALSE) / VLOOKUP("industry|SO2|Asthma symptoms wheeze", US_national_yearly!$D:$AM, 10, FALSE), 1)</f>
        <v>1.2947813238797517E-2</v>
      </c>
      <c r="R8" s="7">
        <f>$B8 * IFERROR(VLOOKUP("industry|SO2|Asthma symptoms wheeze", US_national_yearly!$D:$AM, 26, FALSE) / VLOOKUP("industry|SO2|Asthma symptoms wheeze", US_national_yearly!$D:$AM, 10, FALSE), 1)</f>
        <v>1.2947813238797517E-2</v>
      </c>
      <c r="S8" s="7">
        <f>$B8 * IFERROR(VLOOKUP("industry|SO2|Asthma symptoms wheeze", US_national_yearly!$D:$AM, 27, FALSE) / VLOOKUP("industry|SO2|Asthma symptoms wheeze", US_national_yearly!$D:$AM, 10, FALSE), 1)</f>
        <v>1.2947813238797517E-2</v>
      </c>
      <c r="T8" s="7">
        <f>$B8 * IFERROR(VLOOKUP("industry|SO2|Asthma symptoms wheeze", US_national_yearly!$D:$AM, 28, FALSE) / VLOOKUP("industry|SO2|Asthma symptoms wheeze", US_national_yearly!$D:$AM, 10, FALSE), 1)</f>
        <v>1.2947813238797517E-2</v>
      </c>
      <c r="U8" s="7">
        <f>$B8 * IFERROR(VLOOKUP("industry|SO2|Asthma symptoms wheeze", US_national_yearly!$D:$AM, 29, FALSE) / VLOOKUP("industry|SO2|Asthma symptoms wheeze", US_national_yearly!$D:$AM, 10, FALSE), 1)</f>
        <v>1.2947813238797517E-2</v>
      </c>
      <c r="V8" s="7">
        <f>$B8 * IFERROR(VLOOKUP("industry|SO2|Asthma symptoms wheeze", US_national_yearly!$D:$AM, 30, FALSE) / VLOOKUP("industry|SO2|Asthma symptoms wheeze", US_national_yearly!$D:$AM, 10, FALSE), 1)</f>
        <v>1.2947813238797517E-2</v>
      </c>
      <c r="W8" s="7">
        <f>$B8 * IFERROR(VLOOKUP("industry|SO2|Asthma symptoms wheeze", US_national_yearly!$D:$AM, 31, FALSE) / VLOOKUP("industry|SO2|Asthma symptoms wheeze", US_national_yearly!$D:$AM, 10, FALSE), 1)</f>
        <v>1.2947813238797517E-2</v>
      </c>
      <c r="X8" s="7">
        <f>$B8 * IFERROR(VLOOKUP("industry|SO2|Asthma symptoms wheeze", US_national_yearly!$D:$AM, 32, FALSE) / VLOOKUP("industry|SO2|Asthma symptoms wheeze", US_national_yearly!$D:$AM, 10, FALSE), 1)</f>
        <v>1.2947813238797517E-2</v>
      </c>
      <c r="Y8" s="7">
        <f>$B8 * IFERROR(VLOOKUP("industry|SO2|Asthma symptoms wheeze", US_national_yearly!$D:$AM, 33, FALSE) / VLOOKUP("industry|SO2|Asthma symptoms wheeze", US_national_yearly!$D:$AM, 10, FALSE), 1)</f>
        <v>1.2947813238797517E-2</v>
      </c>
      <c r="Z8" s="7">
        <f>$B8 * IFERROR(VLOOKUP("industry|SO2|Asthma symptoms wheeze", US_national_yearly!$D:$AM, 34, FALSE) / VLOOKUP("industry|SO2|Asthma symptoms wheeze", US_national_yearly!$D:$AM, 10, FALSE), 1)</f>
        <v>1.2947813238797517E-2</v>
      </c>
      <c r="AA8" s="7">
        <f>$B8 * IFERROR(VLOOKUP("industry|SO2|Asthma symptoms wheeze", US_national_yearly!$D:$AM, 35, FALSE) / VLOOKUP("industry|SO2|Asthma symptoms wheeze", US_national_yearly!$D:$AM, 10, FALSE), 1)</f>
        <v>1.2947813238797517E-2</v>
      </c>
      <c r="AB8" s="7">
        <f>$B8 * IFERROR(VLOOKUP("industry|SO2|Asthma symptoms wheeze", US_national_yearly!$D:$AM, 36, FALSE) / VLOOKUP("industry|SO2|Asthma symptoms wheeze", US_national_yearly!$D:$AM, 10, FALSE), 1)</f>
        <v>1.2947813238797517E-2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2.154109443583167E-4</v>
      </c>
      <c r="C12" s="7">
        <f>$B12 * IFERROR(VLOOKUP("industry|SO2|Respiratory hospital admissions", US_national_yearly!$D:$AM, 11, FALSE) / VLOOKUP("industry|SO2|Respiratory hospital admissions", US_national_yearly!$D:$AM, 10, FALSE), 1)</f>
        <v>2.1667284126165214E-4</v>
      </c>
      <c r="D12" s="7">
        <f>$B12 * IFERROR(VLOOKUP("industry|SO2|Respiratory hospital admissions", US_national_yearly!$D:$AM, 12, FALSE) / VLOOKUP("industry|SO2|Respiratory hospital admissions", US_national_yearly!$D:$AM, 10, FALSE), 1)</f>
        <v>2.1793473816498758E-4</v>
      </c>
      <c r="E12" s="7">
        <f>$B12 * IFERROR(VLOOKUP("industry|SO2|Respiratory hospital admissions", US_national_yearly!$D:$AM, 13, FALSE) / VLOOKUP("industry|SO2|Respiratory hospital admissions", US_national_yearly!$D:$AM, 10, FALSE), 1)</f>
        <v>2.1919663506832305E-4</v>
      </c>
      <c r="F12" s="7">
        <f>$B12 * IFERROR(VLOOKUP("industry|SO2|Respiratory hospital admissions", US_national_yearly!$D:$AM, 14, FALSE) / VLOOKUP("industry|SO2|Respiratory hospital admissions", US_national_yearly!$D:$AM, 10, FALSE), 1)</f>
        <v>2.2045853197165855E-4</v>
      </c>
      <c r="G12" s="7">
        <f>$B12 * IFERROR(VLOOKUP("industry|SO2|Respiratory hospital admissions", US_national_yearly!$D:$AM, 15, FALSE) / VLOOKUP("industry|SO2|Respiratory hospital admissions", US_national_yearly!$D:$AM, 10, FALSE), 1)</f>
        <v>2.2183424370038335E-4</v>
      </c>
      <c r="H12" s="7">
        <f>$B12 * IFERROR(VLOOKUP("industry|SO2|Respiratory hospital admissions", US_national_yearly!$D:$AM, 16, FALSE) / VLOOKUP("industry|SO2|Respiratory hospital admissions", US_national_yearly!$D:$AM, 10, FALSE), 1)</f>
        <v>2.2320995542910815E-4</v>
      </c>
      <c r="I12" s="7">
        <f>$B12 * IFERROR(VLOOKUP("industry|SO2|Respiratory hospital admissions", US_national_yearly!$D:$AM, 17, FALSE) / VLOOKUP("industry|SO2|Respiratory hospital admissions", US_national_yearly!$D:$AM, 10, FALSE), 1)</f>
        <v>2.2456112992371108E-4</v>
      </c>
      <c r="J12" s="7">
        <f>$B12 * IFERROR(VLOOKUP("industry|SO2|Respiratory hospital admissions", US_national_yearly!$D:$AM, 18, FALSE) / VLOOKUP("industry|SO2|Respiratory hospital admissions", US_national_yearly!$D:$AM, 10, FALSE), 1)</f>
        <v>2.2591230441831398E-4</v>
      </c>
      <c r="K12" s="7">
        <f>$B12 * IFERROR(VLOOKUP("industry|SO2|Respiratory hospital admissions", US_national_yearly!$D:$AM, 19, FALSE) / VLOOKUP("industry|SO2|Respiratory hospital admissions", US_national_yearly!$D:$AM, 10, FALSE), 1)</f>
        <v>2.2726347891291682E-4</v>
      </c>
      <c r="L12" s="7">
        <f>$B12 * IFERROR(VLOOKUP("industry|SO2|Respiratory hospital admissions", US_national_yearly!$D:$AM, 20, FALSE) / VLOOKUP("industry|SO2|Respiratory hospital admissions", US_national_yearly!$D:$AM, 10, FALSE), 1)</f>
        <v>2.2861465340751972E-4</v>
      </c>
      <c r="M12" s="7">
        <f>$B12 * IFERROR(VLOOKUP("industry|SO2|Respiratory hospital admissions", US_national_yearly!$D:$AM, 21, FALSE) / VLOOKUP("industry|SO2|Respiratory hospital admissions", US_national_yearly!$D:$AM, 10, FALSE), 1)</f>
        <v>2.2996582790212262E-4</v>
      </c>
      <c r="N12" s="7">
        <f>$B12 * IFERROR(VLOOKUP("industry|SO2|Respiratory hospital admissions", US_national_yearly!$D:$AM, 22, FALSE) / VLOOKUP("industry|SO2|Respiratory hospital admissions", US_national_yearly!$D:$AM, 10, FALSE), 1)</f>
        <v>2.3094355678437455E-4</v>
      </c>
      <c r="O12" s="7">
        <f>$B12 * IFERROR(VLOOKUP("industry|SO2|Respiratory hospital admissions", US_national_yearly!$D:$AM, 23, FALSE) / VLOOKUP("industry|SO2|Respiratory hospital admissions", US_national_yearly!$D:$AM, 10, FALSE), 1)</f>
        <v>2.3192128566662645E-4</v>
      </c>
      <c r="P12" s="7">
        <f>$B12 * IFERROR(VLOOKUP("industry|SO2|Respiratory hospital admissions", US_national_yearly!$D:$AM, 24, FALSE) / VLOOKUP("industry|SO2|Respiratory hospital admissions", US_national_yearly!$D:$AM, 10, FALSE), 1)</f>
        <v>2.3289901454887833E-4</v>
      </c>
      <c r="Q12" s="7">
        <f>$B12 * IFERROR(VLOOKUP("industry|SO2|Respiratory hospital admissions", US_national_yearly!$D:$AM, 25, FALSE) / VLOOKUP("industry|SO2|Respiratory hospital admissions", US_national_yearly!$D:$AM, 10, FALSE), 1)</f>
        <v>2.3387674343113026E-4</v>
      </c>
      <c r="R12" s="7">
        <f>$B12 * IFERROR(VLOOKUP("industry|SO2|Respiratory hospital admissions", US_national_yearly!$D:$AM, 26, FALSE) / VLOOKUP("industry|SO2|Respiratory hospital admissions", US_national_yearly!$D:$AM, 10, FALSE), 1)</f>
        <v>2.3485447231338212E-4</v>
      </c>
      <c r="S12" s="7">
        <f>$B12 * IFERROR(VLOOKUP("industry|SO2|Respiratory hospital admissions", US_national_yearly!$D:$AM, 27, FALSE) / VLOOKUP("industry|SO2|Respiratory hospital admissions", US_national_yearly!$D:$AM, 10, FALSE), 1)</f>
        <v>2.3578365416274555E-4</v>
      </c>
      <c r="T12" s="7">
        <f>$B12 * IFERROR(VLOOKUP("industry|SO2|Respiratory hospital admissions", US_national_yearly!$D:$AM, 28, FALSE) / VLOOKUP("industry|SO2|Respiratory hospital admissions", US_national_yearly!$D:$AM, 10, FALSE), 1)</f>
        <v>2.3671283601210891E-4</v>
      </c>
      <c r="U12" s="7">
        <f>$B12 * IFERROR(VLOOKUP("industry|SO2|Respiratory hospital admissions", US_national_yearly!$D:$AM, 29, FALSE) / VLOOKUP("industry|SO2|Respiratory hospital admissions", US_national_yearly!$D:$AM, 10, FALSE), 1)</f>
        <v>2.376420178614723E-4</v>
      </c>
      <c r="V12" s="7">
        <f>$B12 * IFERROR(VLOOKUP("industry|SO2|Respiratory hospital admissions", US_national_yearly!$D:$AM, 30, FALSE) / VLOOKUP("industry|SO2|Respiratory hospital admissions", US_national_yearly!$D:$AM, 10, FALSE), 1)</f>
        <v>2.3857119971083574E-4</v>
      </c>
      <c r="W12" s="7">
        <f>$B12 * IFERROR(VLOOKUP("industry|SO2|Respiratory hospital admissions", US_national_yearly!$D:$AM, 31, FALSE) / VLOOKUP("industry|SO2|Respiratory hospital admissions", US_national_yearly!$D:$AM, 10, FALSE), 1)</f>
        <v>2.3950038156019909E-4</v>
      </c>
      <c r="X12" s="7">
        <f>$B12 * IFERROR(VLOOKUP("industry|SO2|Respiratory hospital admissions", US_national_yearly!$D:$AM, 32, FALSE) / VLOOKUP("industry|SO2|Respiratory hospital admissions", US_national_yearly!$D:$AM, 10, FALSE), 1)</f>
        <v>2.4038274660241965E-4</v>
      </c>
      <c r="Y12" s="7">
        <f>$B12 * IFERROR(VLOOKUP("industry|SO2|Respiratory hospital admissions", US_national_yearly!$D:$AM, 33, FALSE) / VLOOKUP("industry|SO2|Respiratory hospital admissions", US_national_yearly!$D:$AM, 10, FALSE), 1)</f>
        <v>2.4126511164464023E-4</v>
      </c>
      <c r="Z12" s="7">
        <f>$B12 * IFERROR(VLOOKUP("industry|SO2|Respiratory hospital admissions", US_national_yearly!$D:$AM, 34, FALSE) / VLOOKUP("industry|SO2|Respiratory hospital admissions", US_national_yearly!$D:$AM, 10, FALSE), 1)</f>
        <v>2.4214747668686079E-4</v>
      </c>
      <c r="AA12" s="7">
        <f>$B12 * IFERROR(VLOOKUP("industry|SO2|Respiratory hospital admissions", US_national_yearly!$D:$AM, 35, FALSE) / VLOOKUP("industry|SO2|Respiratory hospital admissions", US_national_yearly!$D:$AM, 10, FALSE), 1)</f>
        <v>2.4302984172908131E-4</v>
      </c>
      <c r="AB12" s="7">
        <f>$B12 * IFERROR(VLOOKUP("industry|SO2|Respiratory hospital admissions", US_national_yearly!$D:$AM, 36, FALSE) / VLOOKUP("industry|SO2|Respiratory hospital admissions", US_national_yearly!$D:$AM, 10, FALSE), 1)</f>
        <v>2.4391220677130192E-4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1.252801114798197E-3</v>
      </c>
      <c r="C13" s="7">
        <f>$B13 * IFERROR(VLOOKUP("industry|SO2|Non-fatal heart attacks", US_national_yearly!$D:$AM, 11, FALSE) / VLOOKUP("industry|SO2|Non-fatal heart attacks", US_national_yearly!$D:$AM, 10, FALSE), 1)</f>
        <v>1.2895786576052435E-3</v>
      </c>
      <c r="D13" s="7">
        <f>$B13 * IFERROR(VLOOKUP("industry|SO2|Non-fatal heart attacks", US_national_yearly!$D:$AM, 12, FALSE) / VLOOKUP("industry|SO2|Non-fatal heart attacks", US_national_yearly!$D:$AM, 10, FALSE), 1)</f>
        <v>1.32635620041229E-3</v>
      </c>
      <c r="E13" s="7">
        <f>$B13 * IFERROR(VLOOKUP("industry|SO2|Non-fatal heart attacks", US_national_yearly!$D:$AM, 13, FALSE) / VLOOKUP("industry|SO2|Non-fatal heart attacks", US_national_yearly!$D:$AM, 10, FALSE), 1)</f>
        <v>1.3631337432193362E-3</v>
      </c>
      <c r="F13" s="7">
        <f>$B13 * IFERROR(VLOOKUP("industry|SO2|Non-fatal heart attacks", US_national_yearly!$D:$AM, 14, FALSE) / VLOOKUP("industry|SO2|Non-fatal heart attacks", US_national_yearly!$D:$AM, 10, FALSE), 1)</f>
        <v>1.3999112860263829E-3</v>
      </c>
      <c r="G13" s="7">
        <f>$B13 * IFERROR(VLOOKUP("industry|SO2|Non-fatal heart attacks", US_national_yearly!$D:$AM, 15, FALSE) / VLOOKUP("industry|SO2|Non-fatal heart attacks", US_national_yearly!$D:$AM, 10, FALSE), 1)</f>
        <v>1.43461898364519E-3</v>
      </c>
      <c r="H13" s="7">
        <f>$B13 * IFERROR(VLOOKUP("industry|SO2|Non-fatal heart attacks", US_national_yearly!$D:$AM, 16, FALSE) / VLOOKUP("industry|SO2|Non-fatal heart attacks", US_national_yearly!$D:$AM, 10, FALSE), 1)</f>
        <v>1.4693266812639974E-3</v>
      </c>
      <c r="I13" s="7">
        <f>$B13 * IFERROR(VLOOKUP("industry|SO2|Non-fatal heart attacks", US_national_yearly!$D:$AM, 17, FALSE) / VLOOKUP("industry|SO2|Non-fatal heart attacks", US_national_yearly!$D:$AM, 10, FALSE), 1)</f>
        <v>1.4973070932406021E-3</v>
      </c>
      <c r="J13" s="7">
        <f>$B13 * IFERROR(VLOOKUP("industry|SO2|Non-fatal heart attacks", US_national_yearly!$D:$AM, 18, FALSE) / VLOOKUP("industry|SO2|Non-fatal heart attacks", US_national_yearly!$D:$AM, 10, FALSE), 1)</f>
        <v>1.5252875052172072E-3</v>
      </c>
      <c r="K13" s="7">
        <f>$B13 * IFERROR(VLOOKUP("industry|SO2|Non-fatal heart attacks", US_national_yearly!$D:$AM, 19, FALSE) / VLOOKUP("industry|SO2|Non-fatal heart attacks", US_national_yearly!$D:$AM, 10, FALSE), 1)</f>
        <v>1.5532679171938119E-3</v>
      </c>
      <c r="L13" s="7">
        <f>$B13 * IFERROR(VLOOKUP("industry|SO2|Non-fatal heart attacks", US_national_yearly!$D:$AM, 20, FALSE) / VLOOKUP("industry|SO2|Non-fatal heart attacks", US_national_yearly!$D:$AM, 10, FALSE), 1)</f>
        <v>1.5812483291704168E-3</v>
      </c>
      <c r="M13" s="7">
        <f>$B13 * IFERROR(VLOOKUP("industry|SO2|Non-fatal heart attacks", US_national_yearly!$D:$AM, 21, FALSE) / VLOOKUP("industry|SO2|Non-fatal heart attacks", US_national_yearly!$D:$AM, 10, FALSE), 1)</f>
        <v>1.6092287411470217E-3</v>
      </c>
      <c r="N13" s="7">
        <f>$B13 * IFERROR(VLOOKUP("industry|SO2|Non-fatal heart attacks", US_national_yearly!$D:$AM, 22, FALSE) / VLOOKUP("industry|SO2|Non-fatal heart attacks", US_national_yearly!$D:$AM, 10, FALSE), 1)</f>
        <v>1.6274063074492005E-3</v>
      </c>
      <c r="O13" s="7">
        <f>$B13 * IFERROR(VLOOKUP("industry|SO2|Non-fatal heart attacks", US_national_yearly!$D:$AM, 23, FALSE) / VLOOKUP("industry|SO2|Non-fatal heart attacks", US_national_yearly!$D:$AM, 10, FALSE), 1)</f>
        <v>1.64558387375138E-3</v>
      </c>
      <c r="P13" s="7">
        <f>$B13 * IFERROR(VLOOKUP("industry|SO2|Non-fatal heart attacks", US_national_yearly!$D:$AM, 24, FALSE) / VLOOKUP("industry|SO2|Non-fatal heart attacks", US_national_yearly!$D:$AM, 10, FALSE), 1)</f>
        <v>1.6637614400535591E-3</v>
      </c>
      <c r="Q13" s="7">
        <f>$B13 * IFERROR(VLOOKUP("industry|SO2|Non-fatal heart attacks", US_national_yearly!$D:$AM, 25, FALSE) / VLOOKUP("industry|SO2|Non-fatal heart attacks", US_national_yearly!$D:$AM, 10, FALSE), 1)</f>
        <v>1.6819390063557379E-3</v>
      </c>
      <c r="R13" s="7">
        <f>$B13 * IFERROR(VLOOKUP("industry|SO2|Non-fatal heart attacks", US_national_yearly!$D:$AM, 26, FALSE) / VLOOKUP("industry|SO2|Non-fatal heart attacks", US_national_yearly!$D:$AM, 10, FALSE), 1)</f>
        <v>1.7001165726579172E-3</v>
      </c>
      <c r="S13" s="7">
        <f>$B13 * IFERROR(VLOOKUP("industry|SO2|Non-fatal heart attacks", US_national_yearly!$D:$AM, 27, FALSE) / VLOOKUP("industry|SO2|Non-fatal heart attacks", US_national_yearly!$D:$AM, 10, FALSE), 1)</f>
        <v>1.7096636977439873E-3</v>
      </c>
      <c r="T13" s="7">
        <f>$B13 * IFERROR(VLOOKUP("industry|SO2|Non-fatal heart attacks", US_national_yearly!$D:$AM, 28, FALSE) / VLOOKUP("industry|SO2|Non-fatal heart attacks", US_national_yearly!$D:$AM, 10, FALSE), 1)</f>
        <v>1.7192108228300574E-3</v>
      </c>
      <c r="U13" s="7">
        <f>$B13 * IFERROR(VLOOKUP("industry|SO2|Non-fatal heart attacks", US_national_yearly!$D:$AM, 29, FALSE) / VLOOKUP("industry|SO2|Non-fatal heart attacks", US_national_yearly!$D:$AM, 10, FALSE), 1)</f>
        <v>1.7287579479161276E-3</v>
      </c>
      <c r="V13" s="7">
        <f>$B13 * IFERROR(VLOOKUP("industry|SO2|Non-fatal heart attacks", US_national_yearly!$D:$AM, 30, FALSE) / VLOOKUP("industry|SO2|Non-fatal heart attacks", US_national_yearly!$D:$AM, 10, FALSE), 1)</f>
        <v>1.7383050730021977E-3</v>
      </c>
      <c r="W13" s="7">
        <f>$B13 * IFERROR(VLOOKUP("industry|SO2|Non-fatal heart attacks", US_national_yearly!$D:$AM, 31, FALSE) / VLOOKUP("industry|SO2|Non-fatal heart attacks", US_national_yearly!$D:$AM, 10, FALSE), 1)</f>
        <v>1.7478521980882678E-3</v>
      </c>
      <c r="X13" s="7">
        <f>$B13 * IFERROR(VLOOKUP("industry|SO2|Non-fatal heart attacks", US_national_yearly!$D:$AM, 32, FALSE) / VLOOKUP("industry|SO2|Non-fatal heart attacks", US_national_yearly!$D:$AM, 10, FALSE), 1)</f>
        <v>1.7551029640888135E-3</v>
      </c>
      <c r="Y13" s="7">
        <f>$B13 * IFERROR(VLOOKUP("industry|SO2|Non-fatal heart attacks", US_national_yearly!$D:$AM, 33, FALSE) / VLOOKUP("industry|SO2|Non-fatal heart attacks", US_national_yearly!$D:$AM, 10, FALSE), 1)</f>
        <v>1.7623537300893591E-3</v>
      </c>
      <c r="Z13" s="7">
        <f>$B13 * IFERROR(VLOOKUP("industry|SO2|Non-fatal heart attacks", US_national_yearly!$D:$AM, 34, FALSE) / VLOOKUP("industry|SO2|Non-fatal heart attacks", US_national_yearly!$D:$AM, 10, FALSE), 1)</f>
        <v>1.7696044960899048E-3</v>
      </c>
      <c r="AA13" s="7">
        <f>$B13 * IFERROR(VLOOKUP("industry|SO2|Non-fatal heart attacks", US_national_yearly!$D:$AM, 35, FALSE) / VLOOKUP("industry|SO2|Non-fatal heart attacks", US_national_yearly!$D:$AM, 10, FALSE), 1)</f>
        <v>1.7768552620904506E-3</v>
      </c>
      <c r="AB13" s="7">
        <f>$B13 * IFERROR(VLOOKUP("industry|SO2|Non-fatal heart attacks", US_national_yearly!$D:$AM, 36, FALSE) / VLOOKUP("industry|SO2|Non-fatal heart attacks", US_national_yearly!$D:$AM, 10, FALSE), 1)</f>
        <v>1.7841060280909963E-3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0.77235157876057603</v>
      </c>
      <c r="C14" s="7">
        <f>$B14 * IFERROR(VLOOKUP("industry|SO2|Minor restricted activity days", US_national_yearly!$D:$AM, 11, FALSE) / VLOOKUP("industry|SO2|Minor restricted activity days", US_national_yearly!$D:$AM, 10, FALSE), 1)</f>
        <v>0.77428353053917354</v>
      </c>
      <c r="D14" s="7">
        <f>$B14 * IFERROR(VLOOKUP("industry|SO2|Minor restricted activity days", US_national_yearly!$D:$AM, 12, FALSE) / VLOOKUP("industry|SO2|Minor restricted activity days", US_national_yearly!$D:$AM, 10, FALSE), 1)</f>
        <v>0.77621548231777093</v>
      </c>
      <c r="E14" s="7">
        <f>$B14 * IFERROR(VLOOKUP("industry|SO2|Minor restricted activity days", US_national_yearly!$D:$AM, 13, FALSE) / VLOOKUP("industry|SO2|Minor restricted activity days", US_national_yearly!$D:$AM, 10, FALSE), 1)</f>
        <v>0.77814743409636844</v>
      </c>
      <c r="F14" s="7">
        <f>$B14 * IFERROR(VLOOKUP("industry|SO2|Minor restricted activity days", US_national_yearly!$D:$AM, 14, FALSE) / VLOOKUP("industry|SO2|Minor restricted activity days", US_national_yearly!$D:$AM, 10, FALSE), 1)</f>
        <v>0.78007938587496606</v>
      </c>
      <c r="G14" s="7">
        <f>$B14 * IFERROR(VLOOKUP("industry|SO2|Minor restricted activity days", US_national_yearly!$D:$AM, 15, FALSE) / VLOOKUP("industry|SO2|Minor restricted activity days", US_national_yearly!$D:$AM, 10, FALSE), 1)</f>
        <v>0.78292147103172582</v>
      </c>
      <c r="H14" s="7">
        <f>$B14 * IFERROR(VLOOKUP("industry|SO2|Minor restricted activity days", US_national_yearly!$D:$AM, 16, FALSE) / VLOOKUP("industry|SO2|Minor restricted activity days", US_national_yearly!$D:$AM, 10, FALSE), 1)</f>
        <v>0.78576355618848548</v>
      </c>
      <c r="I14" s="7">
        <f>$B14 * IFERROR(VLOOKUP("industry|SO2|Minor restricted activity days", US_national_yearly!$D:$AM, 17, FALSE) / VLOOKUP("industry|SO2|Minor restricted activity days", US_national_yearly!$D:$AM, 10, FALSE), 1)</f>
        <v>0.79061017104670384</v>
      </c>
      <c r="J14" s="7">
        <f>$B14 * IFERROR(VLOOKUP("industry|SO2|Minor restricted activity days", US_national_yearly!$D:$AM, 18, FALSE) / VLOOKUP("industry|SO2|Minor restricted activity days", US_national_yearly!$D:$AM, 10, FALSE), 1)</f>
        <v>0.7954567859049223</v>
      </c>
      <c r="K14" s="7">
        <f>$B14 * IFERROR(VLOOKUP("industry|SO2|Minor restricted activity days", US_national_yearly!$D:$AM, 19, FALSE) / VLOOKUP("industry|SO2|Minor restricted activity days", US_national_yearly!$D:$AM, 10, FALSE), 1)</f>
        <v>0.80030340076314077</v>
      </c>
      <c r="L14" s="7">
        <f>$B14 * IFERROR(VLOOKUP("industry|SO2|Minor restricted activity days", US_national_yearly!$D:$AM, 20, FALSE) / VLOOKUP("industry|SO2|Minor restricted activity days", US_national_yearly!$D:$AM, 10, FALSE), 1)</f>
        <v>0.80515001562135913</v>
      </c>
      <c r="M14" s="7">
        <f>$B14 * IFERROR(VLOOKUP("industry|SO2|Minor restricted activity days", US_national_yearly!$D:$AM, 21, FALSE) / VLOOKUP("industry|SO2|Minor restricted activity days", US_national_yearly!$D:$AM, 10, FALSE), 1)</f>
        <v>0.8099966304795776</v>
      </c>
      <c r="N14" s="7">
        <f>$B14 * IFERROR(VLOOKUP("industry|SO2|Minor restricted activity days", US_national_yearly!$D:$AM, 22, FALSE) / VLOOKUP("industry|SO2|Minor restricted activity days", US_national_yearly!$D:$AM, 10, FALSE), 1)</f>
        <v>0.81664192233908228</v>
      </c>
      <c r="O14" s="7">
        <f>$B14 * IFERROR(VLOOKUP("industry|SO2|Minor restricted activity days", US_national_yearly!$D:$AM, 23, FALSE) / VLOOKUP("industry|SO2|Minor restricted activity days", US_national_yearly!$D:$AM, 10, FALSE), 1)</f>
        <v>0.82328721419858697</v>
      </c>
      <c r="P14" s="7">
        <f>$B14 * IFERROR(VLOOKUP("industry|SO2|Minor restricted activity days", US_national_yearly!$D:$AM, 24, FALSE) / VLOOKUP("industry|SO2|Minor restricted activity days", US_national_yearly!$D:$AM, 10, FALSE), 1)</f>
        <v>0.82993250605809166</v>
      </c>
      <c r="Q14" s="7">
        <f>$B14 * IFERROR(VLOOKUP("industry|SO2|Minor restricted activity days", US_national_yearly!$D:$AM, 25, FALSE) / VLOOKUP("industry|SO2|Minor restricted activity days", US_national_yearly!$D:$AM, 10, FALSE), 1)</f>
        <v>0.83657779791759657</v>
      </c>
      <c r="R14" s="7">
        <f>$B14 * IFERROR(VLOOKUP("industry|SO2|Minor restricted activity days", US_national_yearly!$D:$AM, 26, FALSE) / VLOOKUP("industry|SO2|Minor restricted activity days", US_national_yearly!$D:$AM, 10, FALSE), 1)</f>
        <v>0.84322308977710125</v>
      </c>
      <c r="S14" s="7">
        <f>$B14 * IFERROR(VLOOKUP("industry|SO2|Minor restricted activity days", US_national_yearly!$D:$AM, 27, FALSE) / VLOOKUP("industry|SO2|Minor restricted activity days", US_national_yearly!$D:$AM, 10, FALSE), 1)</f>
        <v>0.85000514680668104</v>
      </c>
      <c r="T14" s="7">
        <f>$B14 * IFERROR(VLOOKUP("industry|SO2|Minor restricted activity days", US_national_yearly!$D:$AM, 28, FALSE) / VLOOKUP("industry|SO2|Minor restricted activity days", US_national_yearly!$D:$AM, 10, FALSE), 1)</f>
        <v>0.85678720383626106</v>
      </c>
      <c r="U14" s="7">
        <f>$B14 * IFERROR(VLOOKUP("industry|SO2|Minor restricted activity days", US_national_yearly!$D:$AM, 29, FALSE) / VLOOKUP("industry|SO2|Minor restricted activity days", US_national_yearly!$D:$AM, 10, FALSE), 1)</f>
        <v>0.86356926086584085</v>
      </c>
      <c r="V14" s="7">
        <f>$B14 * IFERROR(VLOOKUP("industry|SO2|Minor restricted activity days", US_national_yearly!$D:$AM, 30, FALSE) / VLOOKUP("industry|SO2|Minor restricted activity days", US_national_yearly!$D:$AM, 10, FALSE), 1)</f>
        <v>0.87035131789542075</v>
      </c>
      <c r="W14" s="7">
        <f>$B14 * IFERROR(VLOOKUP("industry|SO2|Minor restricted activity days", US_national_yearly!$D:$AM, 31, FALSE) / VLOOKUP("industry|SO2|Minor restricted activity days", US_national_yearly!$D:$AM, 10, FALSE), 1)</f>
        <v>0.87713337492500054</v>
      </c>
      <c r="X14" s="7">
        <f>$B14 * IFERROR(VLOOKUP("industry|SO2|Minor restricted activity days", US_national_yearly!$D:$AM, 32, FALSE) / VLOOKUP("industry|SO2|Minor restricted activity days", US_national_yearly!$D:$AM, 10, FALSE), 1)</f>
        <v>0.88309678414323034</v>
      </c>
      <c r="Y14" s="7">
        <f>$B14 * IFERROR(VLOOKUP("industry|SO2|Minor restricted activity days", US_national_yearly!$D:$AM, 33, FALSE) / VLOOKUP("industry|SO2|Minor restricted activity days", US_national_yearly!$D:$AM, 10, FALSE), 1)</f>
        <v>0.88906019336145992</v>
      </c>
      <c r="Z14" s="7">
        <f>$B14 * IFERROR(VLOOKUP("industry|SO2|Minor restricted activity days", US_national_yearly!$D:$AM, 34, FALSE) / VLOOKUP("industry|SO2|Minor restricted activity days", US_national_yearly!$D:$AM, 10, FALSE), 1)</f>
        <v>0.89502360257968949</v>
      </c>
      <c r="AA14" s="7">
        <f>$B14 * IFERROR(VLOOKUP("industry|SO2|Minor restricted activity days", US_national_yearly!$D:$AM, 35, FALSE) / VLOOKUP("industry|SO2|Minor restricted activity days", US_national_yearly!$D:$AM, 10, FALSE), 1)</f>
        <v>0.90098701179791907</v>
      </c>
      <c r="AB14" s="7">
        <f>$B14 * IFERROR(VLOOKUP("industry|SO2|Minor restricted activity days", US_national_yearly!$D:$AM, 36, FALSE) / VLOOKUP("industry|SO2|Minor restricted activity days", US_national_yearly!$D:$AM, 10, FALSE), 1)</f>
        <v>0.90695042101614876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0.13019882791068177</v>
      </c>
      <c r="C15" s="7">
        <f>$B15 * IFERROR(VLOOKUP("industry|SO2|Work loss days", US_national_yearly!$D:$AM, 11, FALSE) / VLOOKUP("industry|SO2|Work loss days", US_national_yearly!$D:$AM, 10, FALSE), 1)</f>
        <v>0.13061753263178638</v>
      </c>
      <c r="D15" s="7">
        <f>$B15 * IFERROR(VLOOKUP("industry|SO2|Work loss days", US_national_yearly!$D:$AM, 12, FALSE) / VLOOKUP("industry|SO2|Work loss days", US_national_yearly!$D:$AM, 10, FALSE), 1)</f>
        <v>0.13103623735289105</v>
      </c>
      <c r="E15" s="7">
        <f>$B15 * IFERROR(VLOOKUP("industry|SO2|Work loss days", US_national_yearly!$D:$AM, 13, FALSE) / VLOOKUP("industry|SO2|Work loss days", US_national_yearly!$D:$AM, 10, FALSE), 1)</f>
        <v>0.13145494207399566</v>
      </c>
      <c r="F15" s="7">
        <f>$B15 * IFERROR(VLOOKUP("industry|SO2|Work loss days", US_national_yearly!$D:$AM, 14, FALSE) / VLOOKUP("industry|SO2|Work loss days", US_national_yearly!$D:$AM, 10, FALSE), 1)</f>
        <v>0.13187364679510033</v>
      </c>
      <c r="G15" s="7">
        <f>$B15 * IFERROR(VLOOKUP("industry|SO2|Work loss days", US_national_yearly!$D:$AM, 15, FALSE) / VLOOKUP("industry|SO2|Work loss days", US_national_yearly!$D:$AM, 10, FALSE), 1)</f>
        <v>0.13242016960615577</v>
      </c>
      <c r="H15" s="7">
        <f>$B15 * IFERROR(VLOOKUP("industry|SO2|Work loss days", US_national_yearly!$D:$AM, 16, FALSE) / VLOOKUP("industry|SO2|Work loss days", US_national_yearly!$D:$AM, 10, FALSE), 1)</f>
        <v>0.13296669241721121</v>
      </c>
      <c r="I15" s="7">
        <f>$B15 * IFERROR(VLOOKUP("industry|SO2|Work loss days", US_national_yearly!$D:$AM, 17, FALSE) / VLOOKUP("industry|SO2|Work loss days", US_national_yearly!$D:$AM, 10, FALSE), 1)</f>
        <v>0.13376555476456894</v>
      </c>
      <c r="J15" s="7">
        <f>$B15 * IFERROR(VLOOKUP("industry|SO2|Work loss days", US_national_yearly!$D:$AM, 18, FALSE) / VLOOKUP("industry|SO2|Work loss days", US_national_yearly!$D:$AM, 10, FALSE), 1)</f>
        <v>0.13456441711192663</v>
      </c>
      <c r="K15" s="7">
        <f>$B15 * IFERROR(VLOOKUP("industry|SO2|Work loss days", US_national_yearly!$D:$AM, 19, FALSE) / VLOOKUP("industry|SO2|Work loss days", US_national_yearly!$D:$AM, 10, FALSE), 1)</f>
        <v>0.13536327945928434</v>
      </c>
      <c r="L15" s="7">
        <f>$B15 * IFERROR(VLOOKUP("industry|SO2|Work loss days", US_national_yearly!$D:$AM, 20, FALSE) / VLOOKUP("industry|SO2|Work loss days", US_national_yearly!$D:$AM, 10, FALSE), 1)</f>
        <v>0.13616214180664207</v>
      </c>
      <c r="M15" s="7">
        <f>$B15 * IFERROR(VLOOKUP("industry|SO2|Work loss days", US_national_yearly!$D:$AM, 21, FALSE) / VLOOKUP("industry|SO2|Work loss days", US_national_yearly!$D:$AM, 10, FALSE), 1)</f>
        <v>0.13696100415399975</v>
      </c>
      <c r="N15" s="7">
        <f>$B15 * IFERROR(VLOOKUP("industry|SO2|Work loss days", US_national_yearly!$D:$AM, 22, FALSE) / VLOOKUP("industry|SO2|Work loss days", US_national_yearly!$D:$AM, 10, FALSE), 1)</f>
        <v>0.13796505651664676</v>
      </c>
      <c r="O15" s="7">
        <f>$B15 * IFERROR(VLOOKUP("industry|SO2|Work loss days", US_national_yearly!$D:$AM, 23, FALSE) / VLOOKUP("industry|SO2|Work loss days", US_national_yearly!$D:$AM, 10, FALSE), 1)</f>
        <v>0.13896910887929376</v>
      </c>
      <c r="P15" s="7">
        <f>$B15 * IFERROR(VLOOKUP("industry|SO2|Work loss days", US_national_yearly!$D:$AM, 24, FALSE) / VLOOKUP("industry|SO2|Work loss days", US_national_yearly!$D:$AM, 10, FALSE), 1)</f>
        <v>0.13997316124194076</v>
      </c>
      <c r="Q15" s="7">
        <f>$B15 * IFERROR(VLOOKUP("industry|SO2|Work loss days", US_national_yearly!$D:$AM, 25, FALSE) / VLOOKUP("industry|SO2|Work loss days", US_national_yearly!$D:$AM, 10, FALSE), 1)</f>
        <v>0.14097721360458776</v>
      </c>
      <c r="R15" s="7">
        <f>$B15 * IFERROR(VLOOKUP("industry|SO2|Work loss days", US_national_yearly!$D:$AM, 26, FALSE) / VLOOKUP("industry|SO2|Work loss days", US_national_yearly!$D:$AM, 10, FALSE), 1)</f>
        <v>0.14198126596723476</v>
      </c>
      <c r="S15" s="7">
        <f>$B15 * IFERROR(VLOOKUP("industry|SO2|Work loss days", US_national_yearly!$D:$AM, 27, FALSE) / VLOOKUP("industry|SO2|Work loss days", US_national_yearly!$D:$AM, 10, FALSE), 1)</f>
        <v>0.14310475918140872</v>
      </c>
      <c r="T15" s="7">
        <f>$B15 * IFERROR(VLOOKUP("industry|SO2|Work loss days", US_national_yearly!$D:$AM, 28, FALSE) / VLOOKUP("industry|SO2|Work loss days", US_national_yearly!$D:$AM, 10, FALSE), 1)</f>
        <v>0.14422825239558273</v>
      </c>
      <c r="U15" s="7">
        <f>$B15 * IFERROR(VLOOKUP("industry|SO2|Work loss days", US_national_yearly!$D:$AM, 29, FALSE) / VLOOKUP("industry|SO2|Work loss days", US_national_yearly!$D:$AM, 10, FALSE), 1)</f>
        <v>0.14535174560975678</v>
      </c>
      <c r="V15" s="7">
        <f>$B15 * IFERROR(VLOOKUP("industry|SO2|Work loss days", US_national_yearly!$D:$AM, 30, FALSE) / VLOOKUP("industry|SO2|Work loss days", US_national_yearly!$D:$AM, 10, FALSE), 1)</f>
        <v>0.14647523882393074</v>
      </c>
      <c r="W15" s="7">
        <f>$B15 * IFERROR(VLOOKUP("industry|SO2|Work loss days", US_national_yearly!$D:$AM, 31, FALSE) / VLOOKUP("industry|SO2|Work loss days", US_national_yearly!$D:$AM, 10, FALSE), 1)</f>
        <v>0.14759873203810475</v>
      </c>
      <c r="X15" s="7">
        <f>$B15 * IFERROR(VLOOKUP("industry|SO2|Work loss days", US_national_yearly!$D:$AM, 32, FALSE) / VLOOKUP("industry|SO2|Work loss days", US_national_yearly!$D:$AM, 10, FALSE), 1)</f>
        <v>0.14860782318928106</v>
      </c>
      <c r="Y15" s="7">
        <f>$B15 * IFERROR(VLOOKUP("industry|SO2|Work loss days", US_national_yearly!$D:$AM, 33, FALSE) / VLOOKUP("industry|SO2|Work loss days", US_national_yearly!$D:$AM, 10, FALSE), 1)</f>
        <v>0.14961691434045743</v>
      </c>
      <c r="Z15" s="7">
        <f>$B15 * IFERROR(VLOOKUP("industry|SO2|Work loss days", US_national_yearly!$D:$AM, 34, FALSE) / VLOOKUP("industry|SO2|Work loss days", US_national_yearly!$D:$AM, 10, FALSE), 1)</f>
        <v>0.15062600549163371</v>
      </c>
      <c r="AA15" s="7">
        <f>$B15 * IFERROR(VLOOKUP("industry|SO2|Work loss days", US_national_yearly!$D:$AM, 35, FALSE) / VLOOKUP("industry|SO2|Work loss days", US_national_yearly!$D:$AM, 10, FALSE), 1)</f>
        <v>0.15163509664281005</v>
      </c>
      <c r="AB15" s="7">
        <f>$B15 * IFERROR(VLOOKUP("industry|SO2|Work loss days", US_national_yearly!$D:$AM, 36, FALSE) / VLOOKUP("industry|SO2|Work loss days", US_national_yearly!$D:$AM, 10, FALSE), 1)</f>
        <v>0.15264418779398639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3.1298000243776118E-4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3.224436402769068E-4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3.3190727811605253E-4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3.4137091595519826E-4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3.50834553794344E-4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3.5990413229225585E-4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3.6897371079016764E-4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3.7675572672653224E-4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3.8453774266289685E-4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3.923197585992615E-4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4.001017745356261E-4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4.0788379047199065E-4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4.1311217061613579E-4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4.1834055076028092E-4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4.2356893090442601E-4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4.2879731104857114E-4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4.3402569119271634E-4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4.3679025591696134E-4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4.3955482064120645E-4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4.4231938536545145E-4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4.4508395008969662E-4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4.4784851481394162E-4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4.4971809355680325E-4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4.5158767229966482E-4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4.5345725104252649E-4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4.5532682978538812E-4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4.5719640852824969E-4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1.3252247904961111E-3</v>
      </c>
      <c r="C2" s="7">
        <f>$B2 * IFERROR(VLOOKUP("LULUCF|PM25|Premature mortality", US_national_yearly!$D:$AM, 11, FALSE) / VLOOKUP("LULUCF|PM25|Premature mortality", US_national_yearly!$D:$AM, 10, FALSE), 1)</f>
        <v>1.3416546736865103E-3</v>
      </c>
      <c r="D2" s="7">
        <f>$B2 * IFERROR(VLOOKUP("LULUCF|PM25|Premature mortality", US_national_yearly!$D:$AM, 12, FALSE) / VLOOKUP("LULUCF|PM25|Premature mortality", US_national_yearly!$D:$AM, 10, FALSE), 1)</f>
        <v>1.358084556876909E-3</v>
      </c>
      <c r="E2" s="7">
        <f>$B2 * IFERROR(VLOOKUP("LULUCF|PM25|Premature mortality", US_national_yearly!$D:$AM, 13, FALSE) / VLOOKUP("LULUCF|PM25|Premature mortality", US_national_yearly!$D:$AM, 10, FALSE), 1)</f>
        <v>1.3745144400673078E-3</v>
      </c>
      <c r="F2" s="7">
        <f>$B2 * IFERROR(VLOOKUP("LULUCF|PM25|Premature mortality", US_national_yearly!$D:$AM, 14, FALSE) / VLOOKUP("LULUCF|PM25|Premature mortality", US_national_yearly!$D:$AM, 10, FALSE), 1)</f>
        <v>1.3909443232577065E-3</v>
      </c>
      <c r="G2" s="7">
        <f>$B2 * IFERROR(VLOOKUP("LULUCF|PM25|Premature mortality", US_national_yearly!$D:$AM, 15, FALSE) / VLOOKUP("LULUCF|PM25|Premature mortality", US_national_yearly!$D:$AM, 10, FALSE), 1)</f>
        <v>1.4229413968597626E-3</v>
      </c>
      <c r="H2" s="7">
        <f>$B2 * IFERROR(VLOOKUP("LULUCF|PM25|Premature mortality", US_national_yearly!$D:$AM, 16, FALSE) / VLOOKUP("LULUCF|PM25|Premature mortality", US_national_yearly!$D:$AM, 10, FALSE), 1)</f>
        <v>1.4549384704618184E-3</v>
      </c>
      <c r="I2" s="7">
        <f>$B2 * IFERROR(VLOOKUP("LULUCF|PM25|Premature mortality", US_national_yearly!$D:$AM, 17, FALSE) / VLOOKUP("LULUCF|PM25|Premature mortality", US_national_yearly!$D:$AM, 10, FALSE), 1)</f>
        <v>1.4759554953247954E-3</v>
      </c>
      <c r="J2" s="7">
        <f>$B2 * IFERROR(VLOOKUP("LULUCF|PM25|Premature mortality", US_national_yearly!$D:$AM, 18, FALSE) / VLOOKUP("LULUCF|PM25|Premature mortality", US_national_yearly!$D:$AM, 10, FALSE), 1)</f>
        <v>1.4969725201877731E-3</v>
      </c>
      <c r="K2" s="7">
        <f>$B2 * IFERROR(VLOOKUP("LULUCF|PM25|Premature mortality", US_national_yearly!$D:$AM, 19, FALSE) / VLOOKUP("LULUCF|PM25|Premature mortality", US_national_yearly!$D:$AM, 10, FALSE), 1)</f>
        <v>1.5179895450507504E-3</v>
      </c>
      <c r="L2" s="7">
        <f>$B2 * IFERROR(VLOOKUP("LULUCF|PM25|Premature mortality", US_national_yearly!$D:$AM, 20, FALSE) / VLOOKUP("LULUCF|PM25|Premature mortality", US_national_yearly!$D:$AM, 10, FALSE), 1)</f>
        <v>1.5390065699137281E-3</v>
      </c>
      <c r="M2" s="7">
        <f>$B2 * IFERROR(VLOOKUP("LULUCF|PM25|Premature mortality", US_national_yearly!$D:$AM, 21, FALSE) / VLOOKUP("LULUCF|PM25|Premature mortality", US_national_yearly!$D:$AM, 10, FALSE), 1)</f>
        <v>1.5600235947767053E-3</v>
      </c>
      <c r="N2" s="7">
        <f>$B2 * IFERROR(VLOOKUP("LULUCF|PM25|Premature mortality", US_national_yearly!$D:$AM, 22, FALSE) / VLOOKUP("LULUCF|PM25|Premature mortality", US_national_yearly!$D:$AM, 10, FALSE), 1)</f>
        <v>1.5763419769744486E-3</v>
      </c>
      <c r="O2" s="7">
        <f>$B2 * IFERROR(VLOOKUP("LULUCF|PM25|Premature mortality", US_national_yearly!$D:$AM, 23, FALSE) / VLOOKUP("LULUCF|PM25|Premature mortality", US_national_yearly!$D:$AM, 10, FALSE), 1)</f>
        <v>1.5926603591721919E-3</v>
      </c>
      <c r="P2" s="7">
        <f>$B2 * IFERROR(VLOOKUP("LULUCF|PM25|Premature mortality", US_national_yearly!$D:$AM, 24, FALSE) / VLOOKUP("LULUCF|PM25|Premature mortality", US_national_yearly!$D:$AM, 10, FALSE), 1)</f>
        <v>1.6089787413699351E-3</v>
      </c>
      <c r="Q2" s="7">
        <f>$B2 * IFERROR(VLOOKUP("LULUCF|PM25|Premature mortality", US_national_yearly!$D:$AM, 25, FALSE) / VLOOKUP("LULUCF|PM25|Premature mortality", US_national_yearly!$D:$AM, 10, FALSE), 1)</f>
        <v>1.6252971235676784E-3</v>
      </c>
      <c r="R2" s="7">
        <f>$B2 * IFERROR(VLOOKUP("LULUCF|PM25|Premature mortality", US_national_yearly!$D:$AM, 26, FALSE) / VLOOKUP("LULUCF|PM25|Premature mortality", US_national_yearly!$D:$AM, 10, FALSE), 1)</f>
        <v>1.6416155057654221E-3</v>
      </c>
      <c r="S2" s="7">
        <f>$B2 * IFERROR(VLOOKUP("LULUCF|PM25|Premature mortality", US_national_yearly!$D:$AM, 27, FALSE) / VLOOKUP("LULUCF|PM25|Premature mortality", US_national_yearly!$D:$AM, 10, FALSE), 1)</f>
        <v>1.6502604998184915E-3</v>
      </c>
      <c r="T2" s="7">
        <f>$B2 * IFERROR(VLOOKUP("LULUCF|PM25|Premature mortality", US_national_yearly!$D:$AM, 28, FALSE) / VLOOKUP("LULUCF|PM25|Premature mortality", US_national_yearly!$D:$AM, 10, FALSE), 1)</f>
        <v>1.6589054938715606E-3</v>
      </c>
      <c r="U2" s="7">
        <f>$B2 * IFERROR(VLOOKUP("LULUCF|PM25|Premature mortality", US_national_yearly!$D:$AM, 29, FALSE) / VLOOKUP("LULUCF|PM25|Premature mortality", US_national_yearly!$D:$AM, 10, FALSE), 1)</f>
        <v>1.6675504879246298E-3</v>
      </c>
      <c r="V2" s="7">
        <f>$B2 * IFERROR(VLOOKUP("LULUCF|PM25|Premature mortality", US_national_yearly!$D:$AM, 30, FALSE) / VLOOKUP("LULUCF|PM25|Premature mortality", US_national_yearly!$D:$AM, 10, FALSE), 1)</f>
        <v>1.676195481977699E-3</v>
      </c>
      <c r="W2" s="7">
        <f>$B2 * IFERROR(VLOOKUP("LULUCF|PM25|Premature mortality", US_national_yearly!$D:$AM, 31, FALSE) / VLOOKUP("LULUCF|PM25|Premature mortality", US_national_yearly!$D:$AM, 10, FALSE), 1)</f>
        <v>1.6848404760307681E-3</v>
      </c>
      <c r="X2" s="7">
        <f>$B2 * IFERROR(VLOOKUP("LULUCF|PM25|Premature mortality", US_national_yearly!$D:$AM, 32, FALSE) / VLOOKUP("LULUCF|PM25|Premature mortality", US_national_yearly!$D:$AM, 10, FALSE), 1)</f>
        <v>1.6863521201146089E-3</v>
      </c>
      <c r="Y2" s="7">
        <f>$B2 * IFERROR(VLOOKUP("LULUCF|PM25|Premature mortality", US_national_yearly!$D:$AM, 33, FALSE) / VLOOKUP("LULUCF|PM25|Premature mortality", US_national_yearly!$D:$AM, 10, FALSE), 1)</f>
        <v>1.6878637641984499E-3</v>
      </c>
      <c r="Z2" s="7">
        <f>$B2 * IFERROR(VLOOKUP("LULUCF|PM25|Premature mortality", US_national_yearly!$D:$AM, 34, FALSE) / VLOOKUP("LULUCF|PM25|Premature mortality", US_national_yearly!$D:$AM, 10, FALSE), 1)</f>
        <v>1.6893754082822907E-3</v>
      </c>
      <c r="AA2" s="7">
        <f>$B2 * IFERROR(VLOOKUP("LULUCF|PM25|Premature mortality", US_national_yearly!$D:$AM, 35, FALSE) / VLOOKUP("LULUCF|PM25|Premature mortality", US_national_yearly!$D:$AM, 10, FALSE), 1)</f>
        <v>1.6908870523661319E-3</v>
      </c>
      <c r="AB2" s="7">
        <f>$B2 * IFERROR(VLOOKUP("LULUCF|PM25|Premature mortality", US_national_yearly!$D:$AM, 36, FALSE) / VLOOKUP("LULUCF|PM25|Premature mortality", US_national_yearly!$D:$AM, 10, FALSE), 1)</f>
        <v>1.6923986964499727E-3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3.1436918531472686E-6</v>
      </c>
      <c r="C3" s="7">
        <f>$B3 * IFERROR(VLOOKUP("LULUCF|PM25|Infant mortality", US_national_yearly!$D:$AM, 11, FALSE) / VLOOKUP("LULUCF|PM25|Infant mortality", US_national_yearly!$D:$AM, 10, FALSE), 1)</f>
        <v>3.1162817288270874E-6</v>
      </c>
      <c r="D3" s="7">
        <f>$B3 * IFERROR(VLOOKUP("LULUCF|PM25|Infant mortality", US_national_yearly!$D:$AM, 12, FALSE) / VLOOKUP("LULUCF|PM25|Infant mortality", US_national_yearly!$D:$AM, 10, FALSE), 1)</f>
        <v>3.0888716045069061E-6</v>
      </c>
      <c r="E3" s="7">
        <f>$B3 * IFERROR(VLOOKUP("LULUCF|PM25|Infant mortality", US_national_yearly!$D:$AM, 13, FALSE) / VLOOKUP("LULUCF|PM25|Infant mortality", US_national_yearly!$D:$AM, 10, FALSE), 1)</f>
        <v>3.0614614801867253E-6</v>
      </c>
      <c r="F3" s="7">
        <f>$B3 * IFERROR(VLOOKUP("LULUCF|PM25|Infant mortality", US_national_yearly!$D:$AM, 14, FALSE) / VLOOKUP("LULUCF|PM25|Infant mortality", US_national_yearly!$D:$AM, 10, FALSE), 1)</f>
        <v>3.0340513558665436E-6</v>
      </c>
      <c r="G3" s="7">
        <f>$B3 * IFERROR(VLOOKUP("LULUCF|PM25|Infant mortality", US_national_yearly!$D:$AM, 15, FALSE) / VLOOKUP("LULUCF|PM25|Infant mortality", US_national_yearly!$D:$AM, 10, FALSE), 1)</f>
        <v>2.017806448993136E-6</v>
      </c>
      <c r="H3" s="7">
        <f>$B3 * IFERROR(VLOOKUP("LULUCF|PM25|Infant mortality", US_national_yearly!$D:$AM, 16, FALSE) / VLOOKUP("LULUCF|PM25|Infant mortality", US_national_yearly!$D:$AM, 10, FALSE), 1)</f>
        <v>1.0015615421197276E-6</v>
      </c>
      <c r="I3" s="7">
        <f>$B3 * IFERROR(VLOOKUP("LULUCF|PM25|Infant mortality", US_national_yearly!$D:$AM, 17, FALSE) / VLOOKUP("LULUCF|PM25|Infant mortality", US_national_yearly!$D:$AM, 10, FALSE), 1)</f>
        <v>9.9501468300984994E-7</v>
      </c>
      <c r="J3" s="7">
        <f>$B3 * IFERROR(VLOOKUP("LULUCF|PM25|Infant mortality", US_national_yearly!$D:$AM, 18, FALSE) / VLOOKUP("LULUCF|PM25|Infant mortality", US_national_yearly!$D:$AM, 10, FALSE), 1)</f>
        <v>9.884678238999723E-7</v>
      </c>
      <c r="K3" s="7">
        <f>$B3 * IFERROR(VLOOKUP("LULUCF|PM25|Infant mortality", US_national_yearly!$D:$AM, 19, FALSE) / VLOOKUP("LULUCF|PM25|Infant mortality", US_national_yearly!$D:$AM, 10, FALSE), 1)</f>
        <v>9.8192096479009444E-7</v>
      </c>
      <c r="L3" s="7">
        <f>$B3 * IFERROR(VLOOKUP("LULUCF|PM25|Infant mortality", US_national_yearly!$D:$AM, 20, FALSE) / VLOOKUP("LULUCF|PM25|Infant mortality", US_national_yearly!$D:$AM, 10, FALSE), 1)</f>
        <v>9.7537410568021679E-7</v>
      </c>
      <c r="M3" s="7">
        <f>$B3 * IFERROR(VLOOKUP("LULUCF|PM25|Infant mortality", US_national_yearly!$D:$AM, 21, FALSE) / VLOOKUP("LULUCF|PM25|Infant mortality", US_national_yearly!$D:$AM, 10, FALSE), 1)</f>
        <v>9.6882724657033914E-7</v>
      </c>
      <c r="N3" s="7">
        <f>$B3 * IFERROR(VLOOKUP("LULUCF|PM25|Infant mortality", US_national_yearly!$D:$AM, 22, FALSE) / VLOOKUP("LULUCF|PM25|Infant mortality", US_national_yearly!$D:$AM, 10, FALSE), 1)</f>
        <v>9.6471509424124448E-7</v>
      </c>
      <c r="O3" s="7">
        <f>$B3 * IFERROR(VLOOKUP("LULUCF|PM25|Infant mortality", US_national_yearly!$D:$AM, 23, FALSE) / VLOOKUP("LULUCF|PM25|Infant mortality", US_national_yearly!$D:$AM, 10, FALSE), 1)</f>
        <v>9.6060294191215002E-7</v>
      </c>
      <c r="P3" s="7">
        <f>$B3 * IFERROR(VLOOKUP("LULUCF|PM25|Infant mortality", US_national_yearly!$D:$AM, 24, FALSE) / VLOOKUP("LULUCF|PM25|Infant mortality", US_national_yearly!$D:$AM, 10, FALSE), 1)</f>
        <v>9.5649078958305514E-7</v>
      </c>
      <c r="Q3" s="7">
        <f>$B3 * IFERROR(VLOOKUP("LULUCF|PM25|Infant mortality", US_national_yearly!$D:$AM, 25, FALSE) / VLOOKUP("LULUCF|PM25|Infant mortality", US_national_yearly!$D:$AM, 10, FALSE), 1)</f>
        <v>9.5237863725396058E-7</v>
      </c>
      <c r="R3" s="7">
        <f>$B3 * IFERROR(VLOOKUP("LULUCF|PM25|Infant mortality", US_national_yearly!$D:$AM, 26, FALSE) / VLOOKUP("LULUCF|PM25|Infant mortality", US_national_yearly!$D:$AM, 10, FALSE), 1)</f>
        <v>9.4826648492486592E-7</v>
      </c>
      <c r="S3" s="7">
        <f>$B3 * IFERROR(VLOOKUP("LULUCF|PM25|Infant mortality", US_national_yearly!$D:$AM, 27, FALSE) / VLOOKUP("LULUCF|PM25|Infant mortality", US_national_yearly!$D:$AM, 10, FALSE), 1)</f>
        <v>9.4314060296712128E-7</v>
      </c>
      <c r="T3" s="7">
        <f>$B3 * IFERROR(VLOOKUP("LULUCF|PM25|Infant mortality", US_national_yearly!$D:$AM, 28, FALSE) / VLOOKUP("LULUCF|PM25|Infant mortality", US_national_yearly!$D:$AM, 10, FALSE), 1)</f>
        <v>9.3801472100937644E-7</v>
      </c>
      <c r="U3" s="7">
        <f>$B3 * IFERROR(VLOOKUP("LULUCF|PM25|Infant mortality", US_national_yearly!$D:$AM, 29, FALSE) / VLOOKUP("LULUCF|PM25|Infant mortality", US_national_yearly!$D:$AM, 10, FALSE), 1)</f>
        <v>9.328888390516318E-7</v>
      </c>
      <c r="V3" s="7">
        <f>$B3 * IFERROR(VLOOKUP("LULUCF|PM25|Infant mortality", US_national_yearly!$D:$AM, 30, FALSE) / VLOOKUP("LULUCF|PM25|Infant mortality", US_national_yearly!$D:$AM, 10, FALSE), 1)</f>
        <v>9.2776295709388706E-7</v>
      </c>
      <c r="W3" s="7">
        <f>$B3 * IFERROR(VLOOKUP("LULUCF|PM25|Infant mortality", US_national_yearly!$D:$AM, 31, FALSE) / VLOOKUP("LULUCF|PM25|Infant mortality", US_national_yearly!$D:$AM, 10, FALSE), 1)</f>
        <v>9.2263707513614222E-7</v>
      </c>
      <c r="X3" s="7">
        <f>$B3 * IFERROR(VLOOKUP("LULUCF|PM25|Infant mortality", US_national_yearly!$D:$AM, 32, FALSE) / VLOOKUP("LULUCF|PM25|Infant mortality", US_national_yearly!$D:$AM, 10, FALSE), 1)</f>
        <v>9.1711073012992166E-7</v>
      </c>
      <c r="Y3" s="7">
        <f>$B3 * IFERROR(VLOOKUP("LULUCF|PM25|Infant mortality", US_national_yearly!$D:$AM, 33, FALSE) / VLOOKUP("LULUCF|PM25|Infant mortality", US_national_yearly!$D:$AM, 10, FALSE), 1)</f>
        <v>9.1158438512370057E-7</v>
      </c>
      <c r="Z3" s="7">
        <f>$B3 * IFERROR(VLOOKUP("LULUCF|PM25|Infant mortality", US_national_yearly!$D:$AM, 34, FALSE) / VLOOKUP("LULUCF|PM25|Infant mortality", US_national_yearly!$D:$AM, 10, FALSE), 1)</f>
        <v>9.0605804011748001E-7</v>
      </c>
      <c r="AA3" s="7">
        <f>$B3 * IFERROR(VLOOKUP("LULUCF|PM25|Infant mortality", US_national_yearly!$D:$AM, 35, FALSE) / VLOOKUP("LULUCF|PM25|Infant mortality", US_national_yearly!$D:$AM, 10, FALSE), 1)</f>
        <v>9.0053169511125914E-7</v>
      </c>
      <c r="AB3" s="7">
        <f>$B3 * IFERROR(VLOOKUP("LULUCF|PM25|Infant mortality", US_national_yearly!$D:$AM, 36, FALSE) / VLOOKUP("LULUCF|PM25|Infant mortality", US_national_yearly!$D:$AM, 10, FALSE), 1)</f>
        <v>8.9500535010503848E-7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2.7157406362290533E-3</v>
      </c>
      <c r="C6" s="7">
        <f>$B6 * IFERROR(VLOOKUP("LULUCF|PM25|Asthma symptoms cough", US_national_yearly!$D:$AM, 11, FALSE) / VLOOKUP("LULUCF|PM25|Asthma symptoms cough", US_national_yearly!$D:$AM, 10, FALSE), 1)</f>
        <v>2.7157406362290533E-3</v>
      </c>
      <c r="D6" s="7">
        <f>$B6 * IFERROR(VLOOKUP("LULUCF|PM25|Asthma symptoms cough", US_national_yearly!$D:$AM, 12, FALSE) / VLOOKUP("LULUCF|PM25|Asthma symptoms cough", US_national_yearly!$D:$AM, 10, FALSE), 1)</f>
        <v>2.7157406362290533E-3</v>
      </c>
      <c r="E6" s="7">
        <f>$B6 * IFERROR(VLOOKUP("LULUCF|PM25|Asthma symptoms cough", US_national_yearly!$D:$AM, 13, FALSE) / VLOOKUP("LULUCF|PM25|Asthma symptoms cough", US_national_yearly!$D:$AM, 10, FALSE), 1)</f>
        <v>2.7157406362290533E-3</v>
      </c>
      <c r="F6" s="7">
        <f>$B6 * IFERROR(VLOOKUP("LULUCF|PM25|Asthma symptoms cough", US_national_yearly!$D:$AM, 14, FALSE) / VLOOKUP("LULUCF|PM25|Asthma symptoms cough", US_national_yearly!$D:$AM, 10, FALSE), 1)</f>
        <v>2.7157406362290533E-3</v>
      </c>
      <c r="G6" s="7">
        <f>$B6 * IFERROR(VLOOKUP("LULUCF|PM25|Asthma symptoms cough", US_national_yearly!$D:$AM, 15, FALSE) / VLOOKUP("LULUCF|PM25|Asthma symptoms cough", US_national_yearly!$D:$AM, 10, FALSE), 1)</f>
        <v>2.7157406362290533E-3</v>
      </c>
      <c r="H6" s="7">
        <f>$B6 * IFERROR(VLOOKUP("LULUCF|PM25|Asthma symptoms cough", US_national_yearly!$D:$AM, 16, FALSE) / VLOOKUP("LULUCF|PM25|Asthma symptoms cough", US_national_yearly!$D:$AM, 10, FALSE), 1)</f>
        <v>2.7157406362290533E-3</v>
      </c>
      <c r="I6" s="7">
        <f>$B6 * IFERROR(VLOOKUP("LULUCF|PM25|Asthma symptoms cough", US_national_yearly!$D:$AM, 17, FALSE) / VLOOKUP("LULUCF|PM25|Asthma symptoms cough", US_national_yearly!$D:$AM, 10, FALSE), 1)</f>
        <v>2.7157406362290533E-3</v>
      </c>
      <c r="J6" s="7">
        <f>$B6 * IFERROR(VLOOKUP("LULUCF|PM25|Asthma symptoms cough", US_national_yearly!$D:$AM, 18, FALSE) / VLOOKUP("LULUCF|PM25|Asthma symptoms cough", US_national_yearly!$D:$AM, 10, FALSE), 1)</f>
        <v>2.7157406362290533E-3</v>
      </c>
      <c r="K6" s="7">
        <f>$B6 * IFERROR(VLOOKUP("LULUCF|PM25|Asthma symptoms cough", US_national_yearly!$D:$AM, 19, FALSE) / VLOOKUP("LULUCF|PM25|Asthma symptoms cough", US_national_yearly!$D:$AM, 10, FALSE), 1)</f>
        <v>2.7157406362290533E-3</v>
      </c>
      <c r="L6" s="7">
        <f>$B6 * IFERROR(VLOOKUP("LULUCF|PM25|Asthma symptoms cough", US_national_yearly!$D:$AM, 20, FALSE) / VLOOKUP("LULUCF|PM25|Asthma symptoms cough", US_national_yearly!$D:$AM, 10, FALSE), 1)</f>
        <v>2.7157406362290533E-3</v>
      </c>
      <c r="M6" s="7">
        <f>$B6 * IFERROR(VLOOKUP("LULUCF|PM25|Asthma symptoms cough", US_national_yearly!$D:$AM, 21, FALSE) / VLOOKUP("LULUCF|PM25|Asthma symptoms cough", US_national_yearly!$D:$AM, 10, FALSE), 1)</f>
        <v>2.7157406362290533E-3</v>
      </c>
      <c r="N6" s="7">
        <f>$B6 * IFERROR(VLOOKUP("LULUCF|PM25|Asthma symptoms cough", US_national_yearly!$D:$AM, 22, FALSE) / VLOOKUP("LULUCF|PM25|Asthma symptoms cough", US_national_yearly!$D:$AM, 10, FALSE), 1)</f>
        <v>2.7157406362290533E-3</v>
      </c>
      <c r="O6" s="7">
        <f>$B6 * IFERROR(VLOOKUP("LULUCF|PM25|Asthma symptoms cough", US_national_yearly!$D:$AM, 23, FALSE) / VLOOKUP("LULUCF|PM25|Asthma symptoms cough", US_national_yearly!$D:$AM, 10, FALSE), 1)</f>
        <v>2.7157406362290533E-3</v>
      </c>
      <c r="P6" s="7">
        <f>$B6 * IFERROR(VLOOKUP("LULUCF|PM25|Asthma symptoms cough", US_national_yearly!$D:$AM, 24, FALSE) / VLOOKUP("LULUCF|PM25|Asthma symptoms cough", US_national_yearly!$D:$AM, 10, FALSE), 1)</f>
        <v>2.7157406362290533E-3</v>
      </c>
      <c r="Q6" s="7">
        <f>$B6 * IFERROR(VLOOKUP("LULUCF|PM25|Asthma symptoms cough", US_national_yearly!$D:$AM, 25, FALSE) / VLOOKUP("LULUCF|PM25|Asthma symptoms cough", US_national_yearly!$D:$AM, 10, FALSE), 1)</f>
        <v>2.7157406362290533E-3</v>
      </c>
      <c r="R6" s="7">
        <f>$B6 * IFERROR(VLOOKUP("LULUCF|PM25|Asthma symptoms cough", US_national_yearly!$D:$AM, 26, FALSE) / VLOOKUP("LULUCF|PM25|Asthma symptoms cough", US_national_yearly!$D:$AM, 10, FALSE), 1)</f>
        <v>2.7157406362290533E-3</v>
      </c>
      <c r="S6" s="7">
        <f>$B6 * IFERROR(VLOOKUP("LULUCF|PM25|Asthma symptoms cough", US_national_yearly!$D:$AM, 27, FALSE) / VLOOKUP("LULUCF|PM25|Asthma symptoms cough", US_national_yearly!$D:$AM, 10, FALSE), 1)</f>
        <v>2.7157406362290533E-3</v>
      </c>
      <c r="T6" s="7">
        <f>$B6 * IFERROR(VLOOKUP("LULUCF|PM25|Asthma symptoms cough", US_national_yearly!$D:$AM, 28, FALSE) / VLOOKUP("LULUCF|PM25|Asthma symptoms cough", US_national_yearly!$D:$AM, 10, FALSE), 1)</f>
        <v>2.7157406362290533E-3</v>
      </c>
      <c r="U6" s="7">
        <f>$B6 * IFERROR(VLOOKUP("LULUCF|PM25|Asthma symptoms cough", US_national_yearly!$D:$AM, 29, FALSE) / VLOOKUP("LULUCF|PM25|Asthma symptoms cough", US_national_yearly!$D:$AM, 10, FALSE), 1)</f>
        <v>2.7157406362290533E-3</v>
      </c>
      <c r="V6" s="7">
        <f>$B6 * IFERROR(VLOOKUP("LULUCF|PM25|Asthma symptoms cough", US_national_yearly!$D:$AM, 30, FALSE) / VLOOKUP("LULUCF|PM25|Asthma symptoms cough", US_national_yearly!$D:$AM, 10, FALSE), 1)</f>
        <v>2.7157406362290533E-3</v>
      </c>
      <c r="W6" s="7">
        <f>$B6 * IFERROR(VLOOKUP("LULUCF|PM25|Asthma symptoms cough", US_national_yearly!$D:$AM, 31, FALSE) / VLOOKUP("LULUCF|PM25|Asthma symptoms cough", US_national_yearly!$D:$AM, 10, FALSE), 1)</f>
        <v>2.7157406362290533E-3</v>
      </c>
      <c r="X6" s="7">
        <f>$B6 * IFERROR(VLOOKUP("LULUCF|PM25|Asthma symptoms cough", US_national_yearly!$D:$AM, 32, FALSE) / VLOOKUP("LULUCF|PM25|Asthma symptoms cough", US_national_yearly!$D:$AM, 10, FALSE), 1)</f>
        <v>2.7157406362290533E-3</v>
      </c>
      <c r="Y6" s="7">
        <f>$B6 * IFERROR(VLOOKUP("LULUCF|PM25|Asthma symptoms cough", US_national_yearly!$D:$AM, 33, FALSE) / VLOOKUP("LULUCF|PM25|Asthma symptoms cough", US_national_yearly!$D:$AM, 10, FALSE), 1)</f>
        <v>2.7157406362290533E-3</v>
      </c>
      <c r="Z6" s="7">
        <f>$B6 * IFERROR(VLOOKUP("LULUCF|PM25|Asthma symptoms cough", US_national_yearly!$D:$AM, 34, FALSE) / VLOOKUP("LULUCF|PM25|Asthma symptoms cough", US_national_yearly!$D:$AM, 10, FALSE), 1)</f>
        <v>2.7157406362290533E-3</v>
      </c>
      <c r="AA6" s="7">
        <f>$B6 * IFERROR(VLOOKUP("LULUCF|PM25|Asthma symptoms cough", US_national_yearly!$D:$AM, 35, FALSE) / VLOOKUP("LULUCF|PM25|Asthma symptoms cough", US_national_yearly!$D:$AM, 10, FALSE), 1)</f>
        <v>2.7157406362290533E-3</v>
      </c>
      <c r="AB6" s="7">
        <f>$B6 * IFERROR(VLOOKUP("LULUCF|PM25|Asthma symptoms cough", US_national_yearly!$D:$AM, 36, FALSE) / VLOOKUP("LULUCF|PM25|Asthma symptoms cough", US_national_yearly!$D:$AM, 10, FALSE), 1)</f>
        <v>2.7157406362290533E-3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3.6570884053084597E-3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3.6570884053084597E-3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3.6570884053084597E-3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3.6570884053084597E-3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3.6570884053084597E-3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3.6570884053084597E-3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3.6570884053084597E-3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3.6570884053084597E-3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3.6570884053084597E-3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3.6570884053084597E-3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3.6570884053084597E-3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3.6570884053084597E-3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3.6570884053084597E-3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3.6570884053084597E-3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3.6570884053084597E-3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3.6570884053084597E-3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3.6570884053084597E-3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3.6570884053084597E-3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3.6570884053084597E-3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3.6570884053084597E-3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3.6570884053084597E-3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3.6570884053084597E-3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3.6570884053084597E-3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3.6570884053084597E-3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3.6570884053084597E-3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3.6570884053084597E-3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3.6570884053084597E-3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5.5875911281462994E-3</v>
      </c>
      <c r="C8" s="7">
        <f>$B8 * IFERROR(VLOOKUP("LULUCF|PM25|Asthma symptoms wheeze", US_national_yearly!$D:$AM, 11, FALSE) / VLOOKUP("LULUCF|PM25|Asthma symptoms wheeze", US_national_yearly!$D:$AM, 10, FALSE), 1)</f>
        <v>5.5875911281462994E-3</v>
      </c>
      <c r="D8" s="7">
        <f>$B8 * IFERROR(VLOOKUP("LULUCF|PM25|Asthma symptoms wheeze", US_national_yearly!$D:$AM, 12, FALSE) / VLOOKUP("LULUCF|PM25|Asthma symptoms wheeze", US_national_yearly!$D:$AM, 10, FALSE), 1)</f>
        <v>5.5875911281462994E-3</v>
      </c>
      <c r="E8" s="7">
        <f>$B8 * IFERROR(VLOOKUP("LULUCF|PM25|Asthma symptoms wheeze", US_national_yearly!$D:$AM, 13, FALSE) / VLOOKUP("LULUCF|PM25|Asthma symptoms wheeze", US_national_yearly!$D:$AM, 10, FALSE), 1)</f>
        <v>5.5875911281462994E-3</v>
      </c>
      <c r="F8" s="7">
        <f>$B8 * IFERROR(VLOOKUP("LULUCF|PM25|Asthma symptoms wheeze", US_national_yearly!$D:$AM, 14, FALSE) / VLOOKUP("LULUCF|PM25|Asthma symptoms wheeze", US_national_yearly!$D:$AM, 10, FALSE), 1)</f>
        <v>5.5875911281462994E-3</v>
      </c>
      <c r="G8" s="7">
        <f>$B8 * IFERROR(VLOOKUP("LULUCF|PM25|Asthma symptoms wheeze", US_national_yearly!$D:$AM, 15, FALSE) / VLOOKUP("LULUCF|PM25|Asthma symptoms wheeze", US_national_yearly!$D:$AM, 10, FALSE), 1)</f>
        <v>5.5875911281462994E-3</v>
      </c>
      <c r="H8" s="7">
        <f>$B8 * IFERROR(VLOOKUP("LULUCF|PM25|Asthma symptoms wheeze", US_national_yearly!$D:$AM, 16, FALSE) / VLOOKUP("LULUCF|PM25|Asthma symptoms wheeze", US_national_yearly!$D:$AM, 10, FALSE), 1)</f>
        <v>5.5875911281462994E-3</v>
      </c>
      <c r="I8" s="7">
        <f>$B8 * IFERROR(VLOOKUP("LULUCF|PM25|Asthma symptoms wheeze", US_national_yearly!$D:$AM, 17, FALSE) / VLOOKUP("LULUCF|PM25|Asthma symptoms wheeze", US_national_yearly!$D:$AM, 10, FALSE), 1)</f>
        <v>5.5875911281462994E-3</v>
      </c>
      <c r="J8" s="7">
        <f>$B8 * IFERROR(VLOOKUP("LULUCF|PM25|Asthma symptoms wheeze", US_national_yearly!$D:$AM, 18, FALSE) / VLOOKUP("LULUCF|PM25|Asthma symptoms wheeze", US_national_yearly!$D:$AM, 10, FALSE), 1)</f>
        <v>5.5875911281462994E-3</v>
      </c>
      <c r="K8" s="7">
        <f>$B8 * IFERROR(VLOOKUP("LULUCF|PM25|Asthma symptoms wheeze", US_national_yearly!$D:$AM, 19, FALSE) / VLOOKUP("LULUCF|PM25|Asthma symptoms wheeze", US_national_yearly!$D:$AM, 10, FALSE), 1)</f>
        <v>5.5875911281462994E-3</v>
      </c>
      <c r="L8" s="7">
        <f>$B8 * IFERROR(VLOOKUP("LULUCF|PM25|Asthma symptoms wheeze", US_national_yearly!$D:$AM, 20, FALSE) / VLOOKUP("LULUCF|PM25|Asthma symptoms wheeze", US_national_yearly!$D:$AM, 10, FALSE), 1)</f>
        <v>5.5875911281462994E-3</v>
      </c>
      <c r="M8" s="7">
        <f>$B8 * IFERROR(VLOOKUP("LULUCF|PM25|Asthma symptoms wheeze", US_national_yearly!$D:$AM, 21, FALSE) / VLOOKUP("LULUCF|PM25|Asthma symptoms wheeze", US_national_yearly!$D:$AM, 10, FALSE), 1)</f>
        <v>5.5875911281462994E-3</v>
      </c>
      <c r="N8" s="7">
        <f>$B8 * IFERROR(VLOOKUP("LULUCF|PM25|Asthma symptoms wheeze", US_national_yearly!$D:$AM, 22, FALSE) / VLOOKUP("LULUCF|PM25|Asthma symptoms wheeze", US_national_yearly!$D:$AM, 10, FALSE), 1)</f>
        <v>5.5875911281462994E-3</v>
      </c>
      <c r="O8" s="7">
        <f>$B8 * IFERROR(VLOOKUP("LULUCF|PM25|Asthma symptoms wheeze", US_national_yearly!$D:$AM, 23, FALSE) / VLOOKUP("LULUCF|PM25|Asthma symptoms wheeze", US_national_yearly!$D:$AM, 10, FALSE), 1)</f>
        <v>5.5875911281462994E-3</v>
      </c>
      <c r="P8" s="7">
        <f>$B8 * IFERROR(VLOOKUP("LULUCF|PM25|Asthma symptoms wheeze", US_national_yearly!$D:$AM, 24, FALSE) / VLOOKUP("LULUCF|PM25|Asthma symptoms wheeze", US_national_yearly!$D:$AM, 10, FALSE), 1)</f>
        <v>5.5875911281462994E-3</v>
      </c>
      <c r="Q8" s="7">
        <f>$B8 * IFERROR(VLOOKUP("LULUCF|PM25|Asthma symptoms wheeze", US_national_yearly!$D:$AM, 25, FALSE) / VLOOKUP("LULUCF|PM25|Asthma symptoms wheeze", US_national_yearly!$D:$AM, 10, FALSE), 1)</f>
        <v>5.5875911281462994E-3</v>
      </c>
      <c r="R8" s="7">
        <f>$B8 * IFERROR(VLOOKUP("LULUCF|PM25|Asthma symptoms wheeze", US_national_yearly!$D:$AM, 26, FALSE) / VLOOKUP("LULUCF|PM25|Asthma symptoms wheeze", US_national_yearly!$D:$AM, 10, FALSE), 1)</f>
        <v>5.5875911281462994E-3</v>
      </c>
      <c r="S8" s="7">
        <f>$B8 * IFERROR(VLOOKUP("LULUCF|PM25|Asthma symptoms wheeze", US_national_yearly!$D:$AM, 27, FALSE) / VLOOKUP("LULUCF|PM25|Asthma symptoms wheeze", US_national_yearly!$D:$AM, 10, FALSE), 1)</f>
        <v>5.5875911281462994E-3</v>
      </c>
      <c r="T8" s="7">
        <f>$B8 * IFERROR(VLOOKUP("LULUCF|PM25|Asthma symptoms wheeze", US_national_yearly!$D:$AM, 28, FALSE) / VLOOKUP("LULUCF|PM25|Asthma symptoms wheeze", US_national_yearly!$D:$AM, 10, FALSE), 1)</f>
        <v>5.5875911281462994E-3</v>
      </c>
      <c r="U8" s="7">
        <f>$B8 * IFERROR(VLOOKUP("LULUCF|PM25|Asthma symptoms wheeze", US_national_yearly!$D:$AM, 29, FALSE) / VLOOKUP("LULUCF|PM25|Asthma symptoms wheeze", US_national_yearly!$D:$AM, 10, FALSE), 1)</f>
        <v>5.5875911281462994E-3</v>
      </c>
      <c r="V8" s="7">
        <f>$B8 * IFERROR(VLOOKUP("LULUCF|PM25|Asthma symptoms wheeze", US_national_yearly!$D:$AM, 30, FALSE) / VLOOKUP("LULUCF|PM25|Asthma symptoms wheeze", US_national_yearly!$D:$AM, 10, FALSE), 1)</f>
        <v>5.5875911281462994E-3</v>
      </c>
      <c r="W8" s="7">
        <f>$B8 * IFERROR(VLOOKUP("LULUCF|PM25|Asthma symptoms wheeze", US_national_yearly!$D:$AM, 31, FALSE) / VLOOKUP("LULUCF|PM25|Asthma symptoms wheeze", US_national_yearly!$D:$AM, 10, FALSE), 1)</f>
        <v>5.5875911281462994E-3</v>
      </c>
      <c r="X8" s="7">
        <f>$B8 * IFERROR(VLOOKUP("LULUCF|PM25|Asthma symptoms wheeze", US_national_yearly!$D:$AM, 32, FALSE) / VLOOKUP("LULUCF|PM25|Asthma symptoms wheeze", US_national_yearly!$D:$AM, 10, FALSE), 1)</f>
        <v>5.5875911281462994E-3</v>
      </c>
      <c r="Y8" s="7">
        <f>$B8 * IFERROR(VLOOKUP("LULUCF|PM25|Asthma symptoms wheeze", US_national_yearly!$D:$AM, 33, FALSE) / VLOOKUP("LULUCF|PM25|Asthma symptoms wheeze", US_national_yearly!$D:$AM, 10, FALSE), 1)</f>
        <v>5.5875911281462994E-3</v>
      </c>
      <c r="Z8" s="7">
        <f>$B8 * IFERROR(VLOOKUP("LULUCF|PM25|Asthma symptoms wheeze", US_national_yearly!$D:$AM, 34, FALSE) / VLOOKUP("LULUCF|PM25|Asthma symptoms wheeze", US_national_yearly!$D:$AM, 10, FALSE), 1)</f>
        <v>5.5875911281462994E-3</v>
      </c>
      <c r="AA8" s="7">
        <f>$B8 * IFERROR(VLOOKUP("LULUCF|PM25|Asthma symptoms wheeze", US_national_yearly!$D:$AM, 35, FALSE) / VLOOKUP("LULUCF|PM25|Asthma symptoms wheeze", US_national_yearly!$D:$AM, 10, FALSE), 1)</f>
        <v>5.5875911281462994E-3</v>
      </c>
      <c r="AB8" s="7">
        <f>$B8 * IFERROR(VLOOKUP("LULUCF|PM25|Asthma symptoms wheeze", US_national_yearly!$D:$AM, 36, FALSE) / VLOOKUP("LULUCF|PM25|Asthma symptoms wheeze", US_national_yearly!$D:$AM, 10, FALSE), 1)</f>
        <v>5.5875911281462994E-3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9.4389163274299497E-5</v>
      </c>
      <c r="C12" s="7">
        <f>$B12 * IFERROR(VLOOKUP("LULUCF|PM25|Respiratory hospital admissions", US_national_yearly!$D:$AM, 11, FALSE) / VLOOKUP("LULUCF|PM25|Respiratory hospital admissions", US_national_yearly!$D:$AM, 10, FALSE), 1)</f>
        <v>9.4930163913979287E-5</v>
      </c>
      <c r="D12" s="7">
        <f>$B12 * IFERROR(VLOOKUP("LULUCF|PM25|Respiratory hospital admissions", US_national_yearly!$D:$AM, 12, FALSE) / VLOOKUP("LULUCF|PM25|Respiratory hospital admissions", US_national_yearly!$D:$AM, 10, FALSE), 1)</f>
        <v>9.5471164553659064E-5</v>
      </c>
      <c r="E12" s="7">
        <f>$B12 * IFERROR(VLOOKUP("LULUCF|PM25|Respiratory hospital admissions", US_national_yearly!$D:$AM, 13, FALSE) / VLOOKUP("LULUCF|PM25|Respiratory hospital admissions", US_national_yearly!$D:$AM, 10, FALSE), 1)</f>
        <v>9.6012165193338854E-5</v>
      </c>
      <c r="F12" s="7">
        <f>$B12 * IFERROR(VLOOKUP("LULUCF|PM25|Respiratory hospital admissions", US_national_yearly!$D:$AM, 14, FALSE) / VLOOKUP("LULUCF|PM25|Respiratory hospital admissions", US_national_yearly!$D:$AM, 10, FALSE), 1)</f>
        <v>9.6553165833018631E-5</v>
      </c>
      <c r="G12" s="7">
        <f>$B12 * IFERROR(VLOOKUP("LULUCF|PM25|Respiratory hospital admissions", US_national_yearly!$D:$AM, 15, FALSE) / VLOOKUP("LULUCF|PM25|Respiratory hospital admissions", US_national_yearly!$D:$AM, 10, FALSE), 1)</f>
        <v>9.7137469600404232E-5</v>
      </c>
      <c r="H12" s="7">
        <f>$B12 * IFERROR(VLOOKUP("LULUCF|PM25|Respiratory hospital admissions", US_national_yearly!$D:$AM, 16, FALSE) / VLOOKUP("LULUCF|PM25|Respiratory hospital admissions", US_national_yearly!$D:$AM, 10, FALSE), 1)</f>
        <v>9.772177336778982E-5</v>
      </c>
      <c r="I12" s="7">
        <f>$B12 * IFERROR(VLOOKUP("LULUCF|PM25|Respiratory hospital admissions", US_national_yearly!$D:$AM, 17, FALSE) / VLOOKUP("LULUCF|PM25|Respiratory hospital admissions", US_national_yearly!$D:$AM, 10, FALSE), 1)</f>
        <v>9.8280053417774572E-5</v>
      </c>
      <c r="J12" s="7">
        <f>$B12 * IFERROR(VLOOKUP("LULUCF|PM25|Respiratory hospital admissions", US_national_yearly!$D:$AM, 18, FALSE) / VLOOKUP("LULUCF|PM25|Respiratory hospital admissions", US_national_yearly!$D:$AM, 10, FALSE), 1)</f>
        <v>9.8838333467759365E-5</v>
      </c>
      <c r="K12" s="7">
        <f>$B12 * IFERROR(VLOOKUP("LULUCF|PM25|Respiratory hospital admissions", US_national_yearly!$D:$AM, 19, FALSE) / VLOOKUP("LULUCF|PM25|Respiratory hospital admissions", US_national_yearly!$D:$AM, 10, FALSE), 1)</f>
        <v>9.9396613517744131E-5</v>
      </c>
      <c r="L12" s="7">
        <f>$B12 * IFERROR(VLOOKUP("LULUCF|PM25|Respiratory hospital admissions", US_national_yearly!$D:$AM, 20, FALSE) / VLOOKUP("LULUCF|PM25|Respiratory hospital admissions", US_national_yearly!$D:$AM, 10, FALSE), 1)</f>
        <v>9.9954893567728924E-5</v>
      </c>
      <c r="M12" s="7">
        <f>$B12 * IFERROR(VLOOKUP("LULUCF|PM25|Respiratory hospital admissions", US_national_yearly!$D:$AM, 21, FALSE) / VLOOKUP("LULUCF|PM25|Respiratory hospital admissions", US_national_yearly!$D:$AM, 10, FALSE), 1)</f>
        <v>1.0051317361771368E-4</v>
      </c>
      <c r="N12" s="7">
        <f>$B12 * IFERROR(VLOOKUP("LULUCF|PM25|Respiratory hospital admissions", US_national_yearly!$D:$AM, 22, FALSE) / VLOOKUP("LULUCF|PM25|Respiratory hospital admissions", US_national_yearly!$D:$AM, 10, FALSE), 1)</f>
        <v>1.0091386750122071E-4</v>
      </c>
      <c r="O12" s="7">
        <f>$B12 * IFERROR(VLOOKUP("LULUCF|PM25|Respiratory hospital admissions", US_national_yearly!$D:$AM, 23, FALSE) / VLOOKUP("LULUCF|PM25|Respiratory hospital admissions", US_national_yearly!$D:$AM, 10, FALSE), 1)</f>
        <v>1.0131456138472773E-4</v>
      </c>
      <c r="P12" s="7">
        <f>$B12 * IFERROR(VLOOKUP("LULUCF|PM25|Respiratory hospital admissions", US_national_yearly!$D:$AM, 24, FALSE) / VLOOKUP("LULUCF|PM25|Respiratory hospital admissions", US_national_yearly!$D:$AM, 10, FALSE), 1)</f>
        <v>1.0171525526823473E-4</v>
      </c>
      <c r="Q12" s="7">
        <f>$B12 * IFERROR(VLOOKUP("LULUCF|PM25|Respiratory hospital admissions", US_national_yearly!$D:$AM, 25, FALSE) / VLOOKUP("LULUCF|PM25|Respiratory hospital admissions", US_national_yearly!$D:$AM, 10, FALSE), 1)</f>
        <v>1.0211594915174173E-4</v>
      </c>
      <c r="R12" s="7">
        <f>$B12 * IFERROR(VLOOKUP("LULUCF|PM25|Respiratory hospital admissions", US_national_yearly!$D:$AM, 26, FALSE) / VLOOKUP("LULUCF|PM25|Respiratory hospital admissions", US_national_yearly!$D:$AM, 10, FALSE), 1)</f>
        <v>1.0251664303524878E-4</v>
      </c>
      <c r="S12" s="7">
        <f>$B12 * IFERROR(VLOOKUP("LULUCF|PM25|Respiratory hospital admissions", US_national_yearly!$D:$AM, 27, FALSE) / VLOOKUP("LULUCF|PM25|Respiratory hospital admissions", US_national_yearly!$D:$AM, 10, FALSE), 1)</f>
        <v>1.0289815641092705E-4</v>
      </c>
      <c r="T12" s="7">
        <f>$B12 * IFERROR(VLOOKUP("LULUCF|PM25|Respiratory hospital admissions", US_national_yearly!$D:$AM, 28, FALSE) / VLOOKUP("LULUCF|PM25|Respiratory hospital admissions", US_national_yearly!$D:$AM, 10, FALSE), 1)</f>
        <v>1.0327966978660534E-4</v>
      </c>
      <c r="U12" s="7">
        <f>$B12 * IFERROR(VLOOKUP("LULUCF|PM25|Respiratory hospital admissions", US_national_yearly!$D:$AM, 29, FALSE) / VLOOKUP("LULUCF|PM25|Respiratory hospital admissions", US_national_yearly!$D:$AM, 10, FALSE), 1)</f>
        <v>1.0366118316228362E-4</v>
      </c>
      <c r="V12" s="7">
        <f>$B12 * IFERROR(VLOOKUP("LULUCF|PM25|Respiratory hospital admissions", US_national_yearly!$D:$AM, 30, FALSE) / VLOOKUP("LULUCF|PM25|Respiratory hospital admissions", US_national_yearly!$D:$AM, 10, FALSE), 1)</f>
        <v>1.0404269653796189E-4</v>
      </c>
      <c r="W12" s="7">
        <f>$B12 * IFERROR(VLOOKUP("LULUCF|PM25|Respiratory hospital admissions", US_national_yearly!$D:$AM, 31, FALSE) / VLOOKUP("LULUCF|PM25|Respiratory hospital admissions", US_national_yearly!$D:$AM, 10, FALSE), 1)</f>
        <v>1.0442420991364017E-4</v>
      </c>
      <c r="X12" s="7">
        <f>$B12 * IFERROR(VLOOKUP("LULUCF|PM25|Respiratory hospital admissions", US_national_yearly!$D:$AM, 32, FALSE) / VLOOKUP("LULUCF|PM25|Respiratory hospital admissions", US_national_yearly!$D:$AM, 10, FALSE), 1)</f>
        <v>1.0479123064769222E-4</v>
      </c>
      <c r="Y12" s="7">
        <f>$B12 * IFERROR(VLOOKUP("LULUCF|PM25|Respiratory hospital admissions", US_national_yearly!$D:$AM, 33, FALSE) / VLOOKUP("LULUCF|PM25|Respiratory hospital admissions", US_national_yearly!$D:$AM, 10, FALSE), 1)</f>
        <v>1.0515825138174422E-4</v>
      </c>
      <c r="Z12" s="7">
        <f>$B12 * IFERROR(VLOOKUP("LULUCF|PM25|Respiratory hospital admissions", US_national_yearly!$D:$AM, 34, FALSE) / VLOOKUP("LULUCF|PM25|Respiratory hospital admissions", US_national_yearly!$D:$AM, 10, FALSE), 1)</f>
        <v>1.0552527211579626E-4</v>
      </c>
      <c r="AA12" s="7">
        <f>$B12 * IFERROR(VLOOKUP("LULUCF|PM25|Respiratory hospital admissions", US_national_yearly!$D:$AM, 35, FALSE) / VLOOKUP("LULUCF|PM25|Respiratory hospital admissions", US_national_yearly!$D:$AM, 10, FALSE), 1)</f>
        <v>1.0589229284984826E-4</v>
      </c>
      <c r="AB12" s="7">
        <f>$B12 * IFERROR(VLOOKUP("LULUCF|PM25|Respiratory hospital admissions", US_national_yearly!$D:$AM, 36, FALSE) / VLOOKUP("LULUCF|PM25|Respiratory hospital admissions", US_national_yearly!$D:$AM, 10, FALSE), 1)</f>
        <v>1.062593135839003E-4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5.439783730399972E-4</v>
      </c>
      <c r="C13" s="7">
        <f>$B13 * IFERROR(VLOOKUP("LULUCF|PM25|Non-fatal heart attacks", US_national_yearly!$D:$AM, 11, FALSE) / VLOOKUP("LULUCF|PM25|Non-fatal heart attacks", US_national_yearly!$D:$AM, 10, FALSE), 1)</f>
        <v>5.5979326789765734E-4</v>
      </c>
      <c r="D13" s="7">
        <f>$B13 * IFERROR(VLOOKUP("LULUCF|PM25|Non-fatal heart attacks", US_national_yearly!$D:$AM, 12, FALSE) / VLOOKUP("LULUCF|PM25|Non-fatal heart attacks", US_national_yearly!$D:$AM, 10, FALSE), 1)</f>
        <v>5.756081627553176E-4</v>
      </c>
      <c r="E13" s="7">
        <f>$B13 * IFERROR(VLOOKUP("LULUCF|PM25|Non-fatal heart attacks", US_national_yearly!$D:$AM, 13, FALSE) / VLOOKUP("LULUCF|PM25|Non-fatal heart attacks", US_national_yearly!$D:$AM, 10, FALSE), 1)</f>
        <v>5.9142305761297764E-4</v>
      </c>
      <c r="F13" s="7">
        <f>$B13 * IFERROR(VLOOKUP("LULUCF|PM25|Non-fatal heart attacks", US_national_yearly!$D:$AM, 14, FALSE) / VLOOKUP("LULUCF|PM25|Non-fatal heart attacks", US_national_yearly!$D:$AM, 10, FALSE), 1)</f>
        <v>6.072379524706379E-4</v>
      </c>
      <c r="G13" s="7">
        <f>$B13 * IFERROR(VLOOKUP("LULUCF|PM25|Non-fatal heart attacks", US_national_yearly!$D:$AM, 15, FALSE) / VLOOKUP("LULUCF|PM25|Non-fatal heart attacks", US_national_yearly!$D:$AM, 10, FALSE), 1)</f>
        <v>6.2215239811968116E-4</v>
      </c>
      <c r="H13" s="7">
        <f>$B13 * IFERROR(VLOOKUP("LULUCF|PM25|Non-fatal heart attacks", US_national_yearly!$D:$AM, 16, FALSE) / VLOOKUP("LULUCF|PM25|Non-fatal heart attacks", US_national_yearly!$D:$AM, 10, FALSE), 1)</f>
        <v>6.3706684376872431E-4</v>
      </c>
      <c r="I13" s="7">
        <f>$B13 * IFERROR(VLOOKUP("LULUCF|PM25|Non-fatal heart attacks", US_national_yearly!$D:$AM, 17, FALSE) / VLOOKUP("LULUCF|PM25|Non-fatal heart attacks", US_national_yearly!$D:$AM, 10, FALSE), 1)</f>
        <v>6.4905309521410962E-4</v>
      </c>
      <c r="J13" s="7">
        <f>$B13 * IFERROR(VLOOKUP("LULUCF|PM25|Non-fatal heart attacks", US_national_yearly!$D:$AM, 18, FALSE) / VLOOKUP("LULUCF|PM25|Non-fatal heart attacks", US_national_yearly!$D:$AM, 10, FALSE), 1)</f>
        <v>6.6103934665949504E-4</v>
      </c>
      <c r="K13" s="7">
        <f>$B13 * IFERROR(VLOOKUP("LULUCF|PM25|Non-fatal heart attacks", US_national_yearly!$D:$AM, 19, FALSE) / VLOOKUP("LULUCF|PM25|Non-fatal heart attacks", US_national_yearly!$D:$AM, 10, FALSE), 1)</f>
        <v>6.7302559810488046E-4</v>
      </c>
      <c r="L13" s="7">
        <f>$B13 * IFERROR(VLOOKUP("LULUCF|PM25|Non-fatal heart attacks", US_national_yearly!$D:$AM, 20, FALSE) / VLOOKUP("LULUCF|PM25|Non-fatal heart attacks", US_national_yearly!$D:$AM, 10, FALSE), 1)</f>
        <v>6.8501184955026587E-4</v>
      </c>
      <c r="M13" s="7">
        <f>$B13 * IFERROR(VLOOKUP("LULUCF|PM25|Non-fatal heart attacks", US_national_yearly!$D:$AM, 21, FALSE) / VLOOKUP("LULUCF|PM25|Non-fatal heart attacks", US_national_yearly!$D:$AM, 10, FALSE), 1)</f>
        <v>6.969981009956514E-4</v>
      </c>
      <c r="N13" s="7">
        <f>$B13 * IFERROR(VLOOKUP("LULUCF|PM25|Non-fatal heart attacks", US_national_yearly!$D:$AM, 22, FALSE) / VLOOKUP("LULUCF|PM25|Non-fatal heart attacks", US_national_yearly!$D:$AM, 10, FALSE), 1)</f>
        <v>7.0472804958977646E-4</v>
      </c>
      <c r="O13" s="7">
        <f>$B13 * IFERROR(VLOOKUP("LULUCF|PM25|Non-fatal heart attacks", US_national_yearly!$D:$AM, 23, FALSE) / VLOOKUP("LULUCF|PM25|Non-fatal heart attacks", US_national_yearly!$D:$AM, 10, FALSE), 1)</f>
        <v>7.1245799818390164E-4</v>
      </c>
      <c r="P13" s="7">
        <f>$B13 * IFERROR(VLOOKUP("LULUCF|PM25|Non-fatal heart attacks", US_national_yearly!$D:$AM, 24, FALSE) / VLOOKUP("LULUCF|PM25|Non-fatal heart attacks", US_national_yearly!$D:$AM, 10, FALSE), 1)</f>
        <v>7.2018794677802681E-4</v>
      </c>
      <c r="Q13" s="7">
        <f>$B13 * IFERROR(VLOOKUP("LULUCF|PM25|Non-fatal heart attacks", US_national_yearly!$D:$AM, 25, FALSE) / VLOOKUP("LULUCF|PM25|Non-fatal heart attacks", US_national_yearly!$D:$AM, 10, FALSE), 1)</f>
        <v>7.2791789537215187E-4</v>
      </c>
      <c r="R13" s="7">
        <f>$B13 * IFERROR(VLOOKUP("LULUCF|PM25|Non-fatal heart attacks", US_national_yearly!$D:$AM, 26, FALSE) / VLOOKUP("LULUCF|PM25|Non-fatal heart attacks", US_national_yearly!$D:$AM, 10, FALSE), 1)</f>
        <v>7.3564784396627704E-4</v>
      </c>
      <c r="S13" s="7">
        <f>$B13 * IFERROR(VLOOKUP("LULUCF|PM25|Non-fatal heart attacks", US_national_yearly!$D:$AM, 27, FALSE) / VLOOKUP("LULUCF|PM25|Non-fatal heart attacks", US_national_yearly!$D:$AM, 10, FALSE), 1)</f>
        <v>7.3971865573888929E-4</v>
      </c>
      <c r="T13" s="7">
        <f>$B13 * IFERROR(VLOOKUP("LULUCF|PM25|Non-fatal heart attacks", US_national_yearly!$D:$AM, 28, FALSE) / VLOOKUP("LULUCF|PM25|Non-fatal heart attacks", US_national_yearly!$D:$AM, 10, FALSE), 1)</f>
        <v>7.4378946751150164E-4</v>
      </c>
      <c r="U13" s="7">
        <f>$B13 * IFERROR(VLOOKUP("LULUCF|PM25|Non-fatal heart attacks", US_national_yearly!$D:$AM, 29, FALSE) / VLOOKUP("LULUCF|PM25|Non-fatal heart attacks", US_national_yearly!$D:$AM, 10, FALSE), 1)</f>
        <v>7.478602792841141E-4</v>
      </c>
      <c r="V13" s="7">
        <f>$B13 * IFERROR(VLOOKUP("LULUCF|PM25|Non-fatal heart attacks", US_national_yearly!$D:$AM, 30, FALSE) / VLOOKUP("LULUCF|PM25|Non-fatal heart attacks", US_national_yearly!$D:$AM, 10, FALSE), 1)</f>
        <v>7.5193109105672646E-4</v>
      </c>
      <c r="W13" s="7">
        <f>$B13 * IFERROR(VLOOKUP("LULUCF|PM25|Non-fatal heart attacks", US_national_yearly!$D:$AM, 31, FALSE) / VLOOKUP("LULUCF|PM25|Non-fatal heart attacks", US_national_yearly!$D:$AM, 10, FALSE), 1)</f>
        <v>7.560019028293387E-4</v>
      </c>
      <c r="X13" s="7">
        <f>$B13 * IFERROR(VLOOKUP("LULUCF|PM25|Non-fatal heart attacks", US_national_yearly!$D:$AM, 32, FALSE) / VLOOKUP("LULUCF|PM25|Non-fatal heart attacks", US_national_yearly!$D:$AM, 10, FALSE), 1)</f>
        <v>7.5909223759203627E-4</v>
      </c>
      <c r="Y13" s="7">
        <f>$B13 * IFERROR(VLOOKUP("LULUCF|PM25|Non-fatal heart attacks", US_national_yearly!$D:$AM, 33, FALSE) / VLOOKUP("LULUCF|PM25|Non-fatal heart attacks", US_national_yearly!$D:$AM, 10, FALSE), 1)</f>
        <v>7.6218257235473406E-4</v>
      </c>
      <c r="Z13" s="7">
        <f>$B13 * IFERROR(VLOOKUP("LULUCF|PM25|Non-fatal heart attacks", US_national_yearly!$D:$AM, 34, FALSE) / VLOOKUP("LULUCF|PM25|Non-fatal heart attacks", US_national_yearly!$D:$AM, 10, FALSE), 1)</f>
        <v>7.6527290711743163E-4</v>
      </c>
      <c r="AA13" s="7">
        <f>$B13 * IFERROR(VLOOKUP("LULUCF|PM25|Non-fatal heart attacks", US_national_yearly!$D:$AM, 35, FALSE) / VLOOKUP("LULUCF|PM25|Non-fatal heart attacks", US_national_yearly!$D:$AM, 10, FALSE), 1)</f>
        <v>7.683632418801293E-4</v>
      </c>
      <c r="AB13" s="7">
        <f>$B13 * IFERROR(VLOOKUP("LULUCF|PM25|Non-fatal heart attacks", US_national_yearly!$D:$AM, 36, FALSE) / VLOOKUP("LULUCF|PM25|Non-fatal heart attacks", US_national_yearly!$D:$AM, 10, FALSE), 1)</f>
        <v>7.7145357664282698E-4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0.33320623821941625</v>
      </c>
      <c r="C14" s="7">
        <f>$B14 * IFERROR(VLOOKUP("LULUCF|PM25|Minor restricted activity days", US_national_yearly!$D:$AM, 11, FALSE) / VLOOKUP("LULUCF|PM25|Minor restricted activity days", US_national_yearly!$D:$AM, 10, FALSE), 1)</f>
        <v>0.33401996736837036</v>
      </c>
      <c r="D14" s="7">
        <f>$B14 * IFERROR(VLOOKUP("LULUCF|PM25|Minor restricted activity days", US_national_yearly!$D:$AM, 12, FALSE) / VLOOKUP("LULUCF|PM25|Minor restricted activity days", US_national_yearly!$D:$AM, 10, FALSE), 1)</f>
        <v>0.33483369651732448</v>
      </c>
      <c r="E14" s="7">
        <f>$B14 * IFERROR(VLOOKUP("LULUCF|PM25|Minor restricted activity days", US_national_yearly!$D:$AM, 13, FALSE) / VLOOKUP("LULUCF|PM25|Minor restricted activity days", US_national_yearly!$D:$AM, 10, FALSE), 1)</f>
        <v>0.33564742566627864</v>
      </c>
      <c r="F14" s="7">
        <f>$B14 * IFERROR(VLOOKUP("LULUCF|PM25|Minor restricted activity days", US_national_yearly!$D:$AM, 14, FALSE) / VLOOKUP("LULUCF|PM25|Minor restricted activity days", US_national_yearly!$D:$AM, 10, FALSE), 1)</f>
        <v>0.33646115481523264</v>
      </c>
      <c r="G14" s="7">
        <f>$B14 * IFERROR(VLOOKUP("LULUCF|PM25|Minor restricted activity days", US_national_yearly!$D:$AM, 15, FALSE) / VLOOKUP("LULUCF|PM25|Minor restricted activity days", US_national_yearly!$D:$AM, 10, FALSE), 1)</f>
        <v>0.33766178782171141</v>
      </c>
      <c r="H14" s="7">
        <f>$B14 * IFERROR(VLOOKUP("LULUCF|PM25|Minor restricted activity days", US_national_yearly!$D:$AM, 16, FALSE) / VLOOKUP("LULUCF|PM25|Minor restricted activity days", US_national_yearly!$D:$AM, 10, FALSE), 1)</f>
        <v>0.33886242082819013</v>
      </c>
      <c r="I14" s="7">
        <f>$B14 * IFERROR(VLOOKUP("LULUCF|PM25|Minor restricted activity days", US_national_yearly!$D:$AM, 17, FALSE) / VLOOKUP("LULUCF|PM25|Minor restricted activity days", US_national_yearly!$D:$AM, 10, FALSE), 1)</f>
        <v>0.34091495346439349</v>
      </c>
      <c r="J14" s="7">
        <f>$B14 * IFERROR(VLOOKUP("LULUCF|PM25|Minor restricted activity days", US_national_yearly!$D:$AM, 18, FALSE) / VLOOKUP("LULUCF|PM25|Minor restricted activity days", US_national_yearly!$D:$AM, 10, FALSE), 1)</f>
        <v>0.34296748610059674</v>
      </c>
      <c r="K14" s="7">
        <f>$B14 * IFERROR(VLOOKUP("LULUCF|PM25|Minor restricted activity days", US_national_yearly!$D:$AM, 19, FALSE) / VLOOKUP("LULUCF|PM25|Minor restricted activity days", US_national_yearly!$D:$AM, 10, FALSE), 1)</f>
        <v>0.3450200187368001</v>
      </c>
      <c r="L14" s="7">
        <f>$B14 * IFERROR(VLOOKUP("LULUCF|PM25|Minor restricted activity days", US_national_yearly!$D:$AM, 20, FALSE) / VLOOKUP("LULUCF|PM25|Minor restricted activity days", US_national_yearly!$D:$AM, 10, FALSE), 1)</f>
        <v>0.34707255137300341</v>
      </c>
      <c r="M14" s="7">
        <f>$B14 * IFERROR(VLOOKUP("LULUCF|PM25|Minor restricted activity days", US_national_yearly!$D:$AM, 21, FALSE) / VLOOKUP("LULUCF|PM25|Minor restricted activity days", US_national_yearly!$D:$AM, 10, FALSE), 1)</f>
        <v>0.34912508400920672</v>
      </c>
      <c r="N14" s="7">
        <f>$B14 * IFERROR(VLOOKUP("LULUCF|PM25|Minor restricted activity days", US_national_yearly!$D:$AM, 22, FALSE) / VLOOKUP("LULUCF|PM25|Minor restricted activity days", US_national_yearly!$D:$AM, 10, FALSE), 1)</f>
        <v>0.35192104211823677</v>
      </c>
      <c r="O14" s="7">
        <f>$B14 * IFERROR(VLOOKUP("LULUCF|PM25|Minor restricted activity days", US_national_yearly!$D:$AM, 23, FALSE) / VLOOKUP("LULUCF|PM25|Minor restricted activity days", US_national_yearly!$D:$AM, 10, FALSE), 1)</f>
        <v>0.35471700022726677</v>
      </c>
      <c r="P14" s="7">
        <f>$B14 * IFERROR(VLOOKUP("LULUCF|PM25|Minor restricted activity days", US_national_yearly!$D:$AM, 24, FALSE) / VLOOKUP("LULUCF|PM25|Minor restricted activity days", US_national_yearly!$D:$AM, 10, FALSE), 1)</f>
        <v>0.35751295833629676</v>
      </c>
      <c r="Q14" s="7">
        <f>$B14 * IFERROR(VLOOKUP("LULUCF|PM25|Minor restricted activity days", US_national_yearly!$D:$AM, 25, FALSE) / VLOOKUP("LULUCF|PM25|Minor restricted activity days", US_national_yearly!$D:$AM, 10, FALSE), 1)</f>
        <v>0.36030891644532675</v>
      </c>
      <c r="R14" s="7">
        <f>$B14 * IFERROR(VLOOKUP("LULUCF|PM25|Minor restricted activity days", US_national_yearly!$D:$AM, 26, FALSE) / VLOOKUP("LULUCF|PM25|Minor restricted activity days", US_national_yearly!$D:$AM, 10, FALSE), 1)</f>
        <v>0.36310487455435669</v>
      </c>
      <c r="S14" s="7">
        <f>$B14 * IFERROR(VLOOKUP("LULUCF|PM25|Minor restricted activity days", US_national_yearly!$D:$AM, 27, FALSE) / VLOOKUP("LULUCF|PM25|Minor restricted activity days", US_national_yearly!$D:$AM, 10, FALSE), 1)</f>
        <v>0.3659200875107057</v>
      </c>
      <c r="T14" s="7">
        <f>$B14 * IFERROR(VLOOKUP("LULUCF|PM25|Minor restricted activity days", US_national_yearly!$D:$AM, 28, FALSE) / VLOOKUP("LULUCF|PM25|Minor restricted activity days", US_national_yearly!$D:$AM, 10, FALSE), 1)</f>
        <v>0.36873530046705477</v>
      </c>
      <c r="U14" s="7">
        <f>$B14 * IFERROR(VLOOKUP("LULUCF|PM25|Minor restricted activity days", US_national_yearly!$D:$AM, 29, FALSE) / VLOOKUP("LULUCF|PM25|Minor restricted activity days", US_national_yearly!$D:$AM, 10, FALSE), 1)</f>
        <v>0.37155051342340378</v>
      </c>
      <c r="V14" s="7">
        <f>$B14 * IFERROR(VLOOKUP("LULUCF|PM25|Minor restricted activity days", US_national_yearly!$D:$AM, 30, FALSE) / VLOOKUP("LULUCF|PM25|Minor restricted activity days", US_national_yearly!$D:$AM, 10, FALSE), 1)</f>
        <v>0.37436572637975279</v>
      </c>
      <c r="W14" s="7">
        <f>$B14 * IFERROR(VLOOKUP("LULUCF|PM25|Minor restricted activity days", US_national_yearly!$D:$AM, 31, FALSE) / VLOOKUP("LULUCF|PM25|Minor restricted activity days", US_national_yearly!$D:$AM, 10, FALSE), 1)</f>
        <v>0.37718093933610181</v>
      </c>
      <c r="X14" s="7">
        <f>$B14 * IFERROR(VLOOKUP("LULUCF|PM25|Minor restricted activity days", US_national_yearly!$D:$AM, 32, FALSE) / VLOOKUP("LULUCF|PM25|Minor restricted activity days", US_national_yearly!$D:$AM, 10, FALSE), 1)</f>
        <v>0.37962482739802467</v>
      </c>
      <c r="Y14" s="7">
        <f>$B14 * IFERROR(VLOOKUP("LULUCF|PM25|Minor restricted activity days", US_national_yearly!$D:$AM, 33, FALSE) / VLOOKUP("LULUCF|PM25|Minor restricted activity days", US_national_yearly!$D:$AM, 10, FALSE), 1)</f>
        <v>0.38206871545994758</v>
      </c>
      <c r="Z14" s="7">
        <f>$B14 * IFERROR(VLOOKUP("LULUCF|PM25|Minor restricted activity days", US_national_yearly!$D:$AM, 34, FALSE) / VLOOKUP("LULUCF|PM25|Minor restricted activity days", US_national_yearly!$D:$AM, 10, FALSE), 1)</f>
        <v>0.38451260352187044</v>
      </c>
      <c r="AA14" s="7">
        <f>$B14 * IFERROR(VLOOKUP("LULUCF|PM25|Minor restricted activity days", US_national_yearly!$D:$AM, 35, FALSE) / VLOOKUP("LULUCF|PM25|Minor restricted activity days", US_national_yearly!$D:$AM, 10, FALSE), 1)</f>
        <v>0.38695649158379325</v>
      </c>
      <c r="AB14" s="7">
        <f>$B14 * IFERROR(VLOOKUP("LULUCF|PM25|Minor restricted activity days", US_national_yearly!$D:$AM, 36, FALSE) / VLOOKUP("LULUCF|PM25|Minor restricted activity days", US_national_yearly!$D:$AM, 10, FALSE), 1)</f>
        <v>0.38940037964571611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5.6153044781639391E-2</v>
      </c>
      <c r="C15" s="7">
        <f>$B15 * IFERROR(VLOOKUP("LULUCF|PM25|Work loss days", US_national_yearly!$D:$AM, 11, FALSE) / VLOOKUP("LULUCF|PM25|Work loss days", US_national_yearly!$D:$AM, 10, FALSE), 1)</f>
        <v>5.6327098995775676E-2</v>
      </c>
      <c r="D15" s="7">
        <f>$B15 * IFERROR(VLOOKUP("LULUCF|PM25|Work loss days", US_national_yearly!$D:$AM, 12, FALSE) / VLOOKUP("LULUCF|PM25|Work loss days", US_national_yearly!$D:$AM, 10, FALSE), 1)</f>
        <v>5.6501153209911975E-2</v>
      </c>
      <c r="E15" s="7">
        <f>$B15 * IFERROR(VLOOKUP("LULUCF|PM25|Work loss days", US_national_yearly!$D:$AM, 13, FALSE) / VLOOKUP("LULUCF|PM25|Work loss days", US_national_yearly!$D:$AM, 10, FALSE), 1)</f>
        <v>5.6675207424048253E-2</v>
      </c>
      <c r="F15" s="7">
        <f>$B15 * IFERROR(VLOOKUP("LULUCF|PM25|Work loss days", US_national_yearly!$D:$AM, 14, FALSE) / VLOOKUP("LULUCF|PM25|Work loss days", US_national_yearly!$D:$AM, 10, FALSE), 1)</f>
        <v>5.6849261638184538E-2</v>
      </c>
      <c r="G15" s="7">
        <f>$B15 * IFERROR(VLOOKUP("LULUCF|PM25|Work loss days", US_national_yearly!$D:$AM, 15, FALSE) / VLOOKUP("LULUCF|PM25|Work loss days", US_national_yearly!$D:$AM, 10, FALSE), 1)</f>
        <v>5.7077457819483549E-2</v>
      </c>
      <c r="H15" s="7">
        <f>$B15 * IFERROR(VLOOKUP("LULUCF|PM25|Work loss days", US_national_yearly!$D:$AM, 16, FALSE) / VLOOKUP("LULUCF|PM25|Work loss days", US_national_yearly!$D:$AM, 10, FALSE), 1)</f>
        <v>5.7305654000782573E-2</v>
      </c>
      <c r="I15" s="7">
        <f>$B15 * IFERROR(VLOOKUP("LULUCF|PM25|Work loss days", US_national_yearly!$D:$AM, 17, FALSE) / VLOOKUP("LULUCF|PM25|Work loss days", US_national_yearly!$D:$AM, 10, FALSE), 1)</f>
        <v>5.7641697975881347E-2</v>
      </c>
      <c r="J15" s="7">
        <f>$B15 * IFERROR(VLOOKUP("LULUCF|PM25|Work loss days", US_national_yearly!$D:$AM, 18, FALSE) / VLOOKUP("LULUCF|PM25|Work loss days", US_national_yearly!$D:$AM, 10, FALSE), 1)</f>
        <v>5.797774195098012E-2</v>
      </c>
      <c r="K15" s="7">
        <f>$B15 * IFERROR(VLOOKUP("LULUCF|PM25|Work loss days", US_national_yearly!$D:$AM, 19, FALSE) / VLOOKUP("LULUCF|PM25|Work loss days", US_national_yearly!$D:$AM, 10, FALSE), 1)</f>
        <v>5.8313785926078901E-2</v>
      </c>
      <c r="L15" s="7">
        <f>$B15 * IFERROR(VLOOKUP("LULUCF|PM25|Work loss days", US_national_yearly!$D:$AM, 20, FALSE) / VLOOKUP("LULUCF|PM25|Work loss days", US_national_yearly!$D:$AM, 10, FALSE), 1)</f>
        <v>5.8649829901177675E-2</v>
      </c>
      <c r="M15" s="7">
        <f>$B15 * IFERROR(VLOOKUP("LULUCF|PM25|Work loss days", US_national_yearly!$D:$AM, 21, FALSE) / VLOOKUP("LULUCF|PM25|Work loss days", US_national_yearly!$D:$AM, 10, FALSE), 1)</f>
        <v>5.8985873876276448E-2</v>
      </c>
      <c r="N15" s="7">
        <f>$B15 * IFERROR(VLOOKUP("LULUCF|PM25|Work loss days", US_national_yearly!$D:$AM, 22, FALSE) / VLOOKUP("LULUCF|PM25|Work loss days", US_national_yearly!$D:$AM, 10, FALSE), 1)</f>
        <v>5.940881065370384E-2</v>
      </c>
      <c r="O15" s="7">
        <f>$B15 * IFERROR(VLOOKUP("LULUCF|PM25|Work loss days", US_national_yearly!$D:$AM, 23, FALSE) / VLOOKUP("LULUCF|PM25|Work loss days", US_national_yearly!$D:$AM, 10, FALSE), 1)</f>
        <v>5.9831747431131226E-2</v>
      </c>
      <c r="P15" s="7">
        <f>$B15 * IFERROR(VLOOKUP("LULUCF|PM25|Work loss days", US_national_yearly!$D:$AM, 24, FALSE) / VLOOKUP("LULUCF|PM25|Work loss days", US_national_yearly!$D:$AM, 10, FALSE), 1)</f>
        <v>6.0254684208558625E-2</v>
      </c>
      <c r="Q15" s="7">
        <f>$B15 * IFERROR(VLOOKUP("LULUCF|PM25|Work loss days", US_national_yearly!$D:$AM, 25, FALSE) / VLOOKUP("LULUCF|PM25|Work loss days", US_national_yearly!$D:$AM, 10, FALSE), 1)</f>
        <v>6.0677620985986003E-2</v>
      </c>
      <c r="R15" s="7">
        <f>$B15 * IFERROR(VLOOKUP("LULUCF|PM25|Work loss days", US_national_yearly!$D:$AM, 26, FALSE) / VLOOKUP("LULUCF|PM25|Work loss days", US_national_yearly!$D:$AM, 10, FALSE), 1)</f>
        <v>6.1100557763413402E-2</v>
      </c>
      <c r="S15" s="7">
        <f>$B15 * IFERROR(VLOOKUP("LULUCF|PM25|Work loss days", US_national_yearly!$D:$AM, 27, FALSE) / VLOOKUP("LULUCF|PM25|Work loss days", US_national_yearly!$D:$AM, 10, FALSE), 1)</f>
        <v>6.1568343895879563E-2</v>
      </c>
      <c r="T15" s="7">
        <f>$B15 * IFERROR(VLOOKUP("LULUCF|PM25|Work loss days", US_national_yearly!$D:$AM, 28, FALSE) / VLOOKUP("LULUCF|PM25|Work loss days", US_national_yearly!$D:$AM, 10, FALSE), 1)</f>
        <v>6.2036130028345737E-2</v>
      </c>
      <c r="U15" s="7">
        <f>$B15 * IFERROR(VLOOKUP("LULUCF|PM25|Work loss days", US_national_yearly!$D:$AM, 29, FALSE) / VLOOKUP("LULUCF|PM25|Work loss days", US_national_yearly!$D:$AM, 10, FALSE), 1)</f>
        <v>6.2503916160811884E-2</v>
      </c>
      <c r="V15" s="7">
        <f>$B15 * IFERROR(VLOOKUP("LULUCF|PM25|Work loss days", US_national_yearly!$D:$AM, 30, FALSE) / VLOOKUP("LULUCF|PM25|Work loss days", US_national_yearly!$D:$AM, 10, FALSE), 1)</f>
        <v>6.2971702293278059E-2</v>
      </c>
      <c r="W15" s="7">
        <f>$B15 * IFERROR(VLOOKUP("LULUCF|PM25|Work loss days", US_national_yearly!$D:$AM, 31, FALSE) / VLOOKUP("LULUCF|PM25|Work loss days", US_national_yearly!$D:$AM, 10, FALSE), 1)</f>
        <v>6.343948842574422E-2</v>
      </c>
      <c r="X15" s="7">
        <f>$B15 * IFERROR(VLOOKUP("LULUCF|PM25|Work loss days", US_national_yearly!$D:$AM, 32, FALSE) / VLOOKUP("LULUCF|PM25|Work loss days", US_national_yearly!$D:$AM, 10, FALSE), 1)</f>
        <v>6.3854540888856129E-2</v>
      </c>
      <c r="Y15" s="7">
        <f>$B15 * IFERROR(VLOOKUP("LULUCF|PM25|Work loss days", US_national_yearly!$D:$AM, 33, FALSE) / VLOOKUP("LULUCF|PM25|Work loss days", US_national_yearly!$D:$AM, 10, FALSE), 1)</f>
        <v>6.4269593351968052E-2</v>
      </c>
      <c r="Z15" s="7">
        <f>$B15 * IFERROR(VLOOKUP("LULUCF|PM25|Work loss days", US_national_yearly!$D:$AM, 34, FALSE) / VLOOKUP("LULUCF|PM25|Work loss days", US_national_yearly!$D:$AM, 10, FALSE), 1)</f>
        <v>6.4684645815079975E-2</v>
      </c>
      <c r="AA15" s="7">
        <f>$B15 * IFERROR(VLOOKUP("LULUCF|PM25|Work loss days", US_national_yearly!$D:$AM, 35, FALSE) / VLOOKUP("LULUCF|PM25|Work loss days", US_national_yearly!$D:$AM, 10, FALSE), 1)</f>
        <v>6.5099698278191898E-2</v>
      </c>
      <c r="AB15" s="7">
        <f>$B15 * IFERROR(VLOOKUP("LULUCF|PM25|Work loss days", US_national_yearly!$D:$AM, 36, FALSE) / VLOOKUP("LULUCF|PM25|Work loss days", US_national_yearly!$D:$AM, 10, FALSE), 1)</f>
        <v>6.551475074130382E-2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1.3661927641381378E-4</v>
      </c>
      <c r="C17" s="7">
        <f>$B17 * IFERROR(VLOOKUP("LULUCF|PM25|Cardiovascular hospital admissions", US_national_yearly!$D:$AM, 11, FALSE) / VLOOKUP("LULUCF|PM25|Cardiovascular hospital admissions", US_national_yearly!$D:$AM, 10, FALSE), 1)</f>
        <v>1.4070155565998286E-4</v>
      </c>
      <c r="D17" s="7">
        <f>$B17 * IFERROR(VLOOKUP("LULUCF|PM25|Cardiovascular hospital admissions", US_national_yearly!$D:$AM, 12, FALSE) / VLOOKUP("LULUCF|PM25|Cardiovascular hospital admissions", US_national_yearly!$D:$AM, 10, FALSE), 1)</f>
        <v>1.4478383490615197E-4</v>
      </c>
      <c r="E17" s="7">
        <f>$B17 * IFERROR(VLOOKUP("LULUCF|PM25|Cardiovascular hospital admissions", US_national_yearly!$D:$AM, 13, FALSE) / VLOOKUP("LULUCF|PM25|Cardiovascular hospital admissions", US_national_yearly!$D:$AM, 10, FALSE), 1)</f>
        <v>1.4886611415232108E-4</v>
      </c>
      <c r="F17" s="7">
        <f>$B17 * IFERROR(VLOOKUP("LULUCF|PM25|Cardiovascular hospital admissions", US_national_yearly!$D:$AM, 14, FALSE) / VLOOKUP("LULUCF|PM25|Cardiovascular hospital admissions", US_national_yearly!$D:$AM, 10, FALSE), 1)</f>
        <v>1.5294839339849019E-4</v>
      </c>
      <c r="G17" s="7">
        <f>$B17 * IFERROR(VLOOKUP("LULUCF|PM25|Cardiovascular hospital admissions", US_national_yearly!$D:$AM, 15, FALSE) / VLOOKUP("LULUCF|PM25|Cardiovascular hospital admissions", US_national_yearly!$D:$AM, 10, FALSE), 1)</f>
        <v>1.5685848771204375E-4</v>
      </c>
      <c r="H17" s="7">
        <f>$B17 * IFERROR(VLOOKUP("LULUCF|PM25|Cardiovascular hospital admissions", US_national_yearly!$D:$AM, 16, FALSE) / VLOOKUP("LULUCF|PM25|Cardiovascular hospital admissions", US_national_yearly!$D:$AM, 10, FALSE), 1)</f>
        <v>1.6076858202559736E-4</v>
      </c>
      <c r="I17" s="7">
        <f>$B17 * IFERROR(VLOOKUP("LULUCF|PM25|Cardiovascular hospital admissions", US_national_yearly!$D:$AM, 17, FALSE) / VLOOKUP("LULUCF|PM25|Cardiovascular hospital admissions", US_national_yearly!$D:$AM, 10, FALSE), 1)</f>
        <v>1.6411270935533177E-4</v>
      </c>
      <c r="J17" s="7">
        <f>$B17 * IFERROR(VLOOKUP("LULUCF|PM25|Cardiovascular hospital admissions", US_national_yearly!$D:$AM, 18, FALSE) / VLOOKUP("LULUCF|PM25|Cardiovascular hospital admissions", US_national_yearly!$D:$AM, 10, FALSE), 1)</f>
        <v>1.6745683668506616E-4</v>
      </c>
      <c r="K17" s="7">
        <f>$B17 * IFERROR(VLOOKUP("LULUCF|PM25|Cardiovascular hospital admissions", US_national_yearly!$D:$AM, 19, FALSE) / VLOOKUP("LULUCF|PM25|Cardiovascular hospital admissions", US_national_yearly!$D:$AM, 10, FALSE), 1)</f>
        <v>1.7080096401480055E-4</v>
      </c>
      <c r="L17" s="7">
        <f>$B17 * IFERROR(VLOOKUP("LULUCF|PM25|Cardiovascular hospital admissions", US_national_yearly!$D:$AM, 20, FALSE) / VLOOKUP("LULUCF|PM25|Cardiovascular hospital admissions", US_national_yearly!$D:$AM, 10, FALSE), 1)</f>
        <v>1.74145091344535E-4</v>
      </c>
      <c r="M17" s="7">
        <f>$B17 * IFERROR(VLOOKUP("LULUCF|PM25|Cardiovascular hospital admissions", US_national_yearly!$D:$AM, 21, FALSE) / VLOOKUP("LULUCF|PM25|Cardiovascular hospital admissions", US_national_yearly!$D:$AM, 10, FALSE), 1)</f>
        <v>1.7748921867426939E-4</v>
      </c>
      <c r="N17" s="7">
        <f>$B17 * IFERROR(VLOOKUP("LULUCF|PM25|Cardiovascular hospital admissions", US_national_yearly!$D:$AM, 22, FALSE) / VLOOKUP("LULUCF|PM25|Cardiovascular hospital admissions", US_national_yearly!$D:$AM, 10, FALSE), 1)</f>
        <v>1.7971882471588843E-4</v>
      </c>
      <c r="O17" s="7">
        <f>$B17 * IFERROR(VLOOKUP("LULUCF|PM25|Cardiovascular hospital admissions", US_national_yearly!$D:$AM, 23, FALSE) / VLOOKUP("LULUCF|PM25|Cardiovascular hospital admissions", US_national_yearly!$D:$AM, 10, FALSE), 1)</f>
        <v>1.8194843075750746E-4</v>
      </c>
      <c r="P17" s="7">
        <f>$B17 * IFERROR(VLOOKUP("LULUCF|PM25|Cardiovascular hospital admissions", US_national_yearly!$D:$AM, 24, FALSE) / VLOOKUP("LULUCF|PM25|Cardiovascular hospital admissions", US_national_yearly!$D:$AM, 10, FALSE), 1)</f>
        <v>1.8417803679912647E-4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1.8640764284074551E-4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1.8863724888236452E-4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1.8981691863678392E-4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1.909965883912033E-4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1.9217625814562265E-4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1.9335592790004202E-4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1.9453559765446137E-4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1.9532976685047722E-4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1.9612393604649303E-4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1.9691810524250885E-4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1.9771227443852467E-4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1.9850644363454049E-4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1.3252247904961111E-3</v>
      </c>
      <c r="C2" s="7">
        <f>$B2 * IFERROR(VLOOKUP("LULUCF|NOx|Premature mortality", US_national_yearly!$D:$AM, 11, FALSE) / VLOOKUP("LULUCF|NOx|Premature mortality", US_national_yearly!$D:$AM, 10, FALSE), 1)</f>
        <v>1.3446901027029596E-3</v>
      </c>
      <c r="D2" s="7">
        <f>$B2 * IFERROR(VLOOKUP("LULUCF|NOx|Premature mortality", US_national_yearly!$D:$AM, 12, FALSE) / VLOOKUP("LULUCF|NOx|Premature mortality", US_national_yearly!$D:$AM, 10, FALSE), 1)</f>
        <v>1.3641554149098078E-3</v>
      </c>
      <c r="E2" s="7">
        <f>$B2 * IFERROR(VLOOKUP("LULUCF|NOx|Premature mortality", US_national_yearly!$D:$AM, 13, FALSE) / VLOOKUP("LULUCF|NOx|Premature mortality", US_national_yearly!$D:$AM, 10, FALSE), 1)</f>
        <v>1.3836207271166565E-3</v>
      </c>
      <c r="F2" s="7">
        <f>$B2 * IFERROR(VLOOKUP("LULUCF|NOx|Premature mortality", US_national_yearly!$D:$AM, 14, FALSE) / VLOOKUP("LULUCF|NOx|Premature mortality", US_national_yearly!$D:$AM, 10, FALSE), 1)</f>
        <v>1.403086039323505E-3</v>
      </c>
      <c r="G2" s="7">
        <f>$B2 * IFERROR(VLOOKUP("LULUCF|NOx|Premature mortality", US_national_yearly!$D:$AM, 15, FALSE) / VLOOKUP("LULUCF|NOx|Premature mortality", US_national_yearly!$D:$AM, 10, FALSE), 1)</f>
        <v>1.4380503421179552E-3</v>
      </c>
      <c r="H2" s="7">
        <f>$B2 * IFERROR(VLOOKUP("LULUCF|NOx|Premature mortality", US_national_yearly!$D:$AM, 16, FALSE) / VLOOKUP("LULUCF|NOx|Premature mortality", US_national_yearly!$D:$AM, 10, FALSE), 1)</f>
        <v>1.473014644912406E-3</v>
      </c>
      <c r="I2" s="7">
        <f>$B2 * IFERROR(VLOOKUP("LULUCF|NOx|Premature mortality", US_national_yearly!$D:$AM, 17, FALSE) / VLOOKUP("LULUCF|NOx|Premature mortality", US_national_yearly!$D:$AM, 10, FALSE), 1)</f>
        <v>1.4955847655913213E-3</v>
      </c>
      <c r="J2" s="7">
        <f>$B2 * IFERROR(VLOOKUP("LULUCF|NOx|Premature mortality", US_national_yearly!$D:$AM, 18, FALSE) / VLOOKUP("LULUCF|NOx|Premature mortality", US_national_yearly!$D:$AM, 10, FALSE), 1)</f>
        <v>1.518154886270237E-3</v>
      </c>
      <c r="K2" s="7">
        <f>$B2 * IFERROR(VLOOKUP("LULUCF|NOx|Premature mortality", US_national_yearly!$D:$AM, 19, FALSE) / VLOOKUP("LULUCF|NOx|Premature mortality", US_national_yearly!$D:$AM, 10, FALSE), 1)</f>
        <v>1.5407250069491521E-3</v>
      </c>
      <c r="L2" s="7">
        <f>$B2 * IFERROR(VLOOKUP("LULUCF|NOx|Premature mortality", US_national_yearly!$D:$AM, 20, FALSE) / VLOOKUP("LULUCF|NOx|Premature mortality", US_national_yearly!$D:$AM, 10, FALSE), 1)</f>
        <v>1.5632951276280673E-3</v>
      </c>
      <c r="M2" s="7">
        <f>$B2 * IFERROR(VLOOKUP("LULUCF|NOx|Premature mortality", US_national_yearly!$D:$AM, 21, FALSE) / VLOOKUP("LULUCF|NOx|Premature mortality", US_national_yearly!$D:$AM, 10, FALSE), 1)</f>
        <v>1.5858652483069829E-3</v>
      </c>
      <c r="N2" s="7">
        <f>$B2 * IFERROR(VLOOKUP("LULUCF|NOx|Premature mortality", US_national_yearly!$D:$AM, 22, FALSE) / VLOOKUP("LULUCF|NOx|Premature mortality", US_national_yearly!$D:$AM, 10, FALSE), 1)</f>
        <v>1.6025851059635931E-3</v>
      </c>
      <c r="O2" s="7">
        <f>$B2 * IFERROR(VLOOKUP("LULUCF|NOx|Premature mortality", US_national_yearly!$D:$AM, 23, FALSE) / VLOOKUP("LULUCF|NOx|Premature mortality", US_national_yearly!$D:$AM, 10, FALSE), 1)</f>
        <v>1.619304963620203E-3</v>
      </c>
      <c r="P2" s="7">
        <f>$B2 * IFERROR(VLOOKUP("LULUCF|NOx|Premature mortality", US_national_yearly!$D:$AM, 24, FALSE) / VLOOKUP("LULUCF|NOx|Premature mortality", US_national_yearly!$D:$AM, 10, FALSE), 1)</f>
        <v>1.6360248212768131E-3</v>
      </c>
      <c r="Q2" s="7">
        <f>$B2 * IFERROR(VLOOKUP("LULUCF|NOx|Premature mortality", US_national_yearly!$D:$AM, 25, FALSE) / VLOOKUP("LULUCF|NOx|Premature mortality", US_national_yearly!$D:$AM, 10, FALSE), 1)</f>
        <v>1.6527446789334234E-3</v>
      </c>
      <c r="R2" s="7">
        <f>$B2 * IFERROR(VLOOKUP("LULUCF|NOx|Premature mortality", US_national_yearly!$D:$AM, 26, FALSE) / VLOOKUP("LULUCF|NOx|Premature mortality", US_national_yearly!$D:$AM, 10, FALSE), 1)</f>
        <v>1.6694645365900335E-3</v>
      </c>
      <c r="S2" s="7">
        <f>$B2 * IFERROR(VLOOKUP("LULUCF|NOx|Premature mortality", US_national_yearly!$D:$AM, 27, FALSE) / VLOOKUP("LULUCF|NOx|Premature mortality", US_national_yearly!$D:$AM, 10, FALSE), 1)</f>
        <v>1.6770638802616918E-3</v>
      </c>
      <c r="T2" s="7">
        <f>$B2 * IFERROR(VLOOKUP("LULUCF|NOx|Premature mortality", US_national_yearly!$D:$AM, 28, FALSE) / VLOOKUP("LULUCF|NOx|Premature mortality", US_national_yearly!$D:$AM, 10, FALSE), 1)</f>
        <v>1.6846632239333507E-3</v>
      </c>
      <c r="U2" s="7">
        <f>$B2 * IFERROR(VLOOKUP("LULUCF|NOx|Premature mortality", US_national_yearly!$D:$AM, 29, FALSE) / VLOOKUP("LULUCF|NOx|Premature mortality", US_national_yearly!$D:$AM, 10, FALSE), 1)</f>
        <v>1.6922625676050089E-3</v>
      </c>
      <c r="V2" s="7">
        <f>$B2 * IFERROR(VLOOKUP("LULUCF|NOx|Premature mortality", US_national_yearly!$D:$AM, 30, FALSE) / VLOOKUP("LULUCF|NOx|Premature mortality", US_national_yearly!$D:$AM, 10, FALSE), 1)</f>
        <v>1.6998619112766674E-3</v>
      </c>
      <c r="W2" s="7">
        <f>$B2 * IFERROR(VLOOKUP("LULUCF|NOx|Premature mortality", US_national_yearly!$D:$AM, 31, FALSE) / VLOOKUP("LULUCF|NOx|Premature mortality", US_national_yearly!$D:$AM, 10, FALSE), 1)</f>
        <v>1.7074612549483261E-3</v>
      </c>
      <c r="X2" s="7">
        <f>$B2 * IFERROR(VLOOKUP("LULUCF|NOx|Premature mortality", US_national_yearly!$D:$AM, 32, FALSE) / VLOOKUP("LULUCF|NOx|Premature mortality", US_national_yearly!$D:$AM, 10, FALSE), 1)</f>
        <v>1.7077244918510541E-3</v>
      </c>
      <c r="Y2" s="7">
        <f>$B2 * IFERROR(VLOOKUP("LULUCF|NOx|Premature mortality", US_national_yearly!$D:$AM, 33, FALSE) / VLOOKUP("LULUCF|NOx|Premature mortality", US_national_yearly!$D:$AM, 10, FALSE), 1)</f>
        <v>1.7079877287537824E-3</v>
      </c>
      <c r="Z2" s="7">
        <f>$B2 * IFERROR(VLOOKUP("LULUCF|NOx|Premature mortality", US_national_yearly!$D:$AM, 34, FALSE) / VLOOKUP("LULUCF|NOx|Premature mortality", US_national_yearly!$D:$AM, 10, FALSE), 1)</f>
        <v>1.7082509656565102E-3</v>
      </c>
      <c r="AA2" s="7">
        <f>$B2 * IFERROR(VLOOKUP("LULUCF|NOx|Premature mortality", US_national_yearly!$D:$AM, 35, FALSE) / VLOOKUP("LULUCF|NOx|Premature mortality", US_national_yearly!$D:$AM, 10, FALSE), 1)</f>
        <v>1.7085142025592384E-3</v>
      </c>
      <c r="AB2" s="7">
        <f>$B2 * IFERROR(VLOOKUP("LULUCF|NOx|Premature mortality", US_national_yearly!$D:$AM, 36, FALSE) / VLOOKUP("LULUCF|NOx|Premature mortality", US_national_yearly!$D:$AM, 10, FALSE), 1)</f>
        <v>1.7087774394619667E-3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3.1436918531472686E-6</v>
      </c>
      <c r="C3" s="7">
        <f>$B3 * IFERROR(VLOOKUP("LULUCF|NOx|Infant mortality", US_national_yearly!$D:$AM, 11, FALSE) / VLOOKUP("LULUCF|NOx|Infant mortality", US_national_yearly!$D:$AM, 10, FALSE), 1)</f>
        <v>3.1137401776083398E-6</v>
      </c>
      <c r="D3" s="7">
        <f>$B3 * IFERROR(VLOOKUP("LULUCF|NOx|Infant mortality", US_national_yearly!$D:$AM, 12, FALSE) / VLOOKUP("LULUCF|NOx|Infant mortality", US_national_yearly!$D:$AM, 10, FALSE), 1)</f>
        <v>3.0837885020694106E-6</v>
      </c>
      <c r="E3" s="7">
        <f>$B3 * IFERROR(VLOOKUP("LULUCF|NOx|Infant mortality", US_national_yearly!$D:$AM, 13, FALSE) / VLOOKUP("LULUCF|NOx|Infant mortality", US_national_yearly!$D:$AM, 10, FALSE), 1)</f>
        <v>3.0538368265304813E-6</v>
      </c>
      <c r="F3" s="7">
        <f>$B3 * IFERROR(VLOOKUP("LULUCF|NOx|Infant mortality", US_national_yearly!$D:$AM, 14, FALSE) / VLOOKUP("LULUCF|NOx|Infant mortality", US_national_yearly!$D:$AM, 10, FALSE), 1)</f>
        <v>3.0238851509915525E-6</v>
      </c>
      <c r="G3" s="7">
        <f>$B3 * IFERROR(VLOOKUP("LULUCF|NOx|Infant mortality", US_national_yearly!$D:$AM, 15, FALSE) / VLOOKUP("LULUCF|NOx|Infant mortality", US_national_yearly!$D:$AM, 10, FALSE), 1)</f>
        <v>2.007404285648351E-6</v>
      </c>
      <c r="H3" s="7">
        <f>$B3 * IFERROR(VLOOKUP("LULUCF|NOx|Infant mortality", US_national_yearly!$D:$AM, 16, FALSE) / VLOOKUP("LULUCF|NOx|Infant mortality", US_national_yearly!$D:$AM, 10, FALSE), 1)</f>
        <v>9.9092342030515013E-7</v>
      </c>
      <c r="I3" s="7">
        <f>$B3 * IFERROR(VLOOKUP("LULUCF|NOx|Infant mortality", US_national_yearly!$D:$AM, 17, FALSE) / VLOOKUP("LULUCF|NOx|Infant mortality", US_national_yearly!$D:$AM, 10, FALSE), 1)</f>
        <v>9.8391664558605547E-7</v>
      </c>
      <c r="J3" s="7">
        <f>$B3 * IFERROR(VLOOKUP("LULUCF|NOx|Infant mortality", US_national_yearly!$D:$AM, 18, FALSE) / VLOOKUP("LULUCF|NOx|Infant mortality", US_national_yearly!$D:$AM, 10, FALSE), 1)</f>
        <v>9.7690987086696081E-7</v>
      </c>
      <c r="K3" s="7">
        <f>$B3 * IFERROR(VLOOKUP("LULUCF|NOx|Infant mortality", US_national_yearly!$D:$AM, 19, FALSE) / VLOOKUP("LULUCF|NOx|Infant mortality", US_national_yearly!$D:$AM, 10, FALSE), 1)</f>
        <v>9.6990309614786615E-7</v>
      </c>
      <c r="L3" s="7">
        <f>$B3 * IFERROR(VLOOKUP("LULUCF|NOx|Infant mortality", US_national_yearly!$D:$AM, 20, FALSE) / VLOOKUP("LULUCF|NOx|Infant mortality", US_national_yearly!$D:$AM, 10, FALSE), 1)</f>
        <v>9.628963214287717E-7</v>
      </c>
      <c r="M3" s="7">
        <f>$B3 * IFERROR(VLOOKUP("LULUCF|NOx|Infant mortality", US_national_yearly!$D:$AM, 21, FALSE) / VLOOKUP("LULUCF|NOx|Infant mortality", US_national_yearly!$D:$AM, 10, FALSE), 1)</f>
        <v>9.5588954670967683E-7</v>
      </c>
      <c r="N3" s="7">
        <f>$B3 * IFERROR(VLOOKUP("LULUCF|NOx|Infant mortality", US_national_yearly!$D:$AM, 22, FALSE) / VLOOKUP("LULUCF|NOx|Infant mortality", US_national_yearly!$D:$AM, 10, FALSE), 1)</f>
        <v>9.5123874262180205E-7</v>
      </c>
      <c r="O3" s="7">
        <f>$B3 * IFERROR(VLOOKUP("LULUCF|NOx|Infant mortality", US_national_yearly!$D:$AM, 23, FALSE) / VLOOKUP("LULUCF|NOx|Infant mortality", US_national_yearly!$D:$AM, 10, FALSE), 1)</f>
        <v>9.4658793853392726E-7</v>
      </c>
      <c r="P3" s="7">
        <f>$B3 * IFERROR(VLOOKUP("LULUCF|NOx|Infant mortality", US_national_yearly!$D:$AM, 24, FALSE) / VLOOKUP("LULUCF|NOx|Infant mortality", US_national_yearly!$D:$AM, 10, FALSE), 1)</f>
        <v>9.4193713444605238E-7</v>
      </c>
      <c r="Q3" s="7">
        <f>$B3 * IFERROR(VLOOKUP("LULUCF|NOx|Infant mortality", US_national_yearly!$D:$AM, 25, FALSE) / VLOOKUP("LULUCF|NOx|Infant mortality", US_national_yearly!$D:$AM, 10, FALSE), 1)</f>
        <v>9.3728633035817759E-7</v>
      </c>
      <c r="R3" s="7">
        <f>$B3 * IFERROR(VLOOKUP("LULUCF|NOx|Infant mortality", US_national_yearly!$D:$AM, 26, FALSE) / VLOOKUP("LULUCF|NOx|Infant mortality", US_national_yearly!$D:$AM, 10, FALSE), 1)</f>
        <v>9.3263552627030281E-7</v>
      </c>
      <c r="S3" s="7">
        <f>$B3 * IFERROR(VLOOKUP("LULUCF|NOx|Infant mortality", US_national_yearly!$D:$AM, 27, FALSE) / VLOOKUP("LULUCF|NOx|Infant mortality", US_national_yearly!$D:$AM, 10, FALSE), 1)</f>
        <v>9.2704452016801841E-7</v>
      </c>
      <c r="T3" s="7">
        <f>$B3 * IFERROR(VLOOKUP("LULUCF|NOx|Infant mortality", US_national_yearly!$D:$AM, 28, FALSE) / VLOOKUP("LULUCF|NOx|Infant mortality", US_national_yearly!$D:$AM, 10, FALSE), 1)</f>
        <v>9.2145351406573402E-7</v>
      </c>
      <c r="U3" s="7">
        <f>$B3 * IFERROR(VLOOKUP("LULUCF|NOx|Infant mortality", US_national_yearly!$D:$AM, 29, FALSE) / VLOOKUP("LULUCF|NOx|Infant mortality", US_national_yearly!$D:$AM, 10, FALSE), 1)</f>
        <v>9.1586250796344972E-7</v>
      </c>
      <c r="V3" s="7">
        <f>$B3 * IFERROR(VLOOKUP("LULUCF|NOx|Infant mortality", US_national_yearly!$D:$AM, 30, FALSE) / VLOOKUP("LULUCF|NOx|Infant mortality", US_national_yearly!$D:$AM, 10, FALSE), 1)</f>
        <v>9.1027150186116532E-7</v>
      </c>
      <c r="W3" s="7">
        <f>$B3 * IFERROR(VLOOKUP("LULUCF|NOx|Infant mortality", US_national_yearly!$D:$AM, 31, FALSE) / VLOOKUP("LULUCF|NOx|Infant mortality", US_national_yearly!$D:$AM, 10, FALSE), 1)</f>
        <v>9.0468049575888093E-7</v>
      </c>
      <c r="X3" s="7">
        <f>$B3 * IFERROR(VLOOKUP("LULUCF|NOx|Infant mortality", US_national_yearly!$D:$AM, 32, FALSE) / VLOOKUP("LULUCF|NOx|Infant mortality", US_national_yearly!$D:$AM, 10, FALSE), 1)</f>
        <v>8.9875934992654171E-7</v>
      </c>
      <c r="Y3" s="7">
        <f>$B3 * IFERROR(VLOOKUP("LULUCF|NOx|Infant mortality", US_national_yearly!$D:$AM, 33, FALSE) / VLOOKUP("LULUCF|NOx|Infant mortality", US_national_yearly!$D:$AM, 10, FALSE), 1)</f>
        <v>8.9283820409420239E-7</v>
      </c>
      <c r="Z3" s="7">
        <f>$B3 * IFERROR(VLOOKUP("LULUCF|NOx|Infant mortality", US_national_yearly!$D:$AM, 34, FALSE) / VLOOKUP("LULUCF|NOx|Infant mortality", US_national_yearly!$D:$AM, 10, FALSE), 1)</f>
        <v>8.8691705826186307E-7</v>
      </c>
      <c r="AA3" s="7">
        <f>$B3 * IFERROR(VLOOKUP("LULUCF|NOx|Infant mortality", US_national_yearly!$D:$AM, 35, FALSE) / VLOOKUP("LULUCF|NOx|Infant mortality", US_national_yearly!$D:$AM, 10, FALSE), 1)</f>
        <v>8.8099591242952375E-7</v>
      </c>
      <c r="AB3" s="7">
        <f>$B3 * IFERROR(VLOOKUP("LULUCF|NOx|Infant mortality", US_national_yearly!$D:$AM, 36, FALSE) / VLOOKUP("LULUCF|NOx|Infant mortality", US_national_yearly!$D:$AM, 10, FALSE), 1)</f>
        <v>8.7507476659718432E-7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2.7157406362290533E-3</v>
      </c>
      <c r="C6" s="7">
        <f>$B6 * IFERROR(VLOOKUP("LULUCF|NOx|Asthma symptoms cough", US_national_yearly!$D:$AM, 11, FALSE) / VLOOKUP("LULUCF|NOx|Asthma symptoms cough", US_national_yearly!$D:$AM, 10, FALSE), 1)</f>
        <v>2.7528692507864864E-3</v>
      </c>
      <c r="D6" s="7">
        <f>$B6 * IFERROR(VLOOKUP("LULUCF|NOx|Asthma symptoms cough", US_national_yearly!$D:$AM, 12, FALSE) / VLOOKUP("LULUCF|NOx|Asthma symptoms cough", US_national_yearly!$D:$AM, 10, FALSE), 1)</f>
        <v>2.7899978653439196E-3</v>
      </c>
      <c r="E6" s="7">
        <f>$B6 * IFERROR(VLOOKUP("LULUCF|NOx|Asthma symptoms cough", US_national_yearly!$D:$AM, 13, FALSE) / VLOOKUP("LULUCF|NOx|Asthma symptoms cough", US_national_yearly!$D:$AM, 10, FALSE), 1)</f>
        <v>2.8271264799013527E-3</v>
      </c>
      <c r="F6" s="7">
        <f>$B6 * IFERROR(VLOOKUP("LULUCF|NOx|Asthma symptoms cough", US_national_yearly!$D:$AM, 14, FALSE) / VLOOKUP("LULUCF|NOx|Asthma symptoms cough", US_national_yearly!$D:$AM, 10, FALSE), 1)</f>
        <v>2.8642550944587863E-3</v>
      </c>
      <c r="G6" s="7">
        <f>$B6 * IFERROR(VLOOKUP("LULUCF|NOx|Asthma symptoms cough", US_national_yearly!$D:$AM, 15, FALSE) / VLOOKUP("LULUCF|NOx|Asthma symptoms cough", US_national_yearly!$D:$AM, 10, FALSE), 1)</f>
        <v>2.8938971048095364E-3</v>
      </c>
      <c r="H6" s="7">
        <f>$B6 * IFERROR(VLOOKUP("LULUCF|NOx|Asthma symptoms cough", US_national_yearly!$D:$AM, 16, FALSE) / VLOOKUP("LULUCF|NOx|Asthma symptoms cough", US_national_yearly!$D:$AM, 10, FALSE), 1)</f>
        <v>2.9235391151602873E-3</v>
      </c>
      <c r="I6" s="7">
        <f>$B6 * IFERROR(VLOOKUP("LULUCF|NOx|Asthma symptoms cough", US_national_yearly!$D:$AM, 17, FALSE) / VLOOKUP("LULUCF|NOx|Asthma symptoms cough", US_national_yearly!$D:$AM, 10, FALSE), 1)</f>
        <v>2.9337414713682072E-3</v>
      </c>
      <c r="J6" s="7">
        <f>$B6 * IFERROR(VLOOKUP("LULUCF|NOx|Asthma symptoms cough", US_national_yearly!$D:$AM, 18, FALSE) / VLOOKUP("LULUCF|NOx|Asthma symptoms cough", US_national_yearly!$D:$AM, 10, FALSE), 1)</f>
        <v>2.9439438275761279E-3</v>
      </c>
      <c r="K6" s="7">
        <f>$B6 * IFERROR(VLOOKUP("LULUCF|NOx|Asthma symptoms cough", US_national_yearly!$D:$AM, 19, FALSE) / VLOOKUP("LULUCF|NOx|Asthma symptoms cough", US_national_yearly!$D:$AM, 10, FALSE), 1)</f>
        <v>2.9541461837840478E-3</v>
      </c>
      <c r="L6" s="7">
        <f>$B6 * IFERROR(VLOOKUP("LULUCF|NOx|Asthma symptoms cough", US_national_yearly!$D:$AM, 20, FALSE) / VLOOKUP("LULUCF|NOx|Asthma symptoms cough", US_national_yearly!$D:$AM, 10, FALSE), 1)</f>
        <v>2.9643485399919677E-3</v>
      </c>
      <c r="M6" s="7">
        <f>$B6 * IFERROR(VLOOKUP("LULUCF|NOx|Asthma symptoms cough", US_national_yearly!$D:$AM, 21, FALSE) / VLOOKUP("LULUCF|NOx|Asthma symptoms cough", US_national_yearly!$D:$AM, 10, FALSE), 1)</f>
        <v>2.974550896199888E-3</v>
      </c>
      <c r="N6" s="7">
        <f>$B6 * IFERROR(VLOOKUP("LULUCF|NOx|Asthma symptoms cough", US_national_yearly!$D:$AM, 22, FALSE) / VLOOKUP("LULUCF|NOx|Asthma symptoms cough", US_national_yearly!$D:$AM, 10, FALSE), 1)</f>
        <v>2.9863812879645821E-3</v>
      </c>
      <c r="O6" s="7">
        <f>$B6 * IFERROR(VLOOKUP("LULUCF|NOx|Asthma symptoms cough", US_national_yearly!$D:$AM, 23, FALSE) / VLOOKUP("LULUCF|NOx|Asthma symptoms cough", US_national_yearly!$D:$AM, 10, FALSE), 1)</f>
        <v>2.9982116797292757E-3</v>
      </c>
      <c r="P6" s="7">
        <f>$B6 * IFERROR(VLOOKUP("LULUCF|NOx|Asthma symptoms cough", US_national_yearly!$D:$AM, 24, FALSE) / VLOOKUP("LULUCF|NOx|Asthma symptoms cough", US_national_yearly!$D:$AM, 10, FALSE), 1)</f>
        <v>3.0100420714939697E-3</v>
      </c>
      <c r="Q6" s="7">
        <f>$B6 * IFERROR(VLOOKUP("LULUCF|NOx|Asthma symptoms cough", US_national_yearly!$D:$AM, 25, FALSE) / VLOOKUP("LULUCF|NOx|Asthma symptoms cough", US_national_yearly!$D:$AM, 10, FALSE), 1)</f>
        <v>3.0218724632586637E-3</v>
      </c>
      <c r="R6" s="7">
        <f>$B6 * IFERROR(VLOOKUP("LULUCF|NOx|Asthma symptoms cough", US_national_yearly!$D:$AM, 26, FALSE) / VLOOKUP("LULUCF|NOx|Asthma symptoms cough", US_national_yearly!$D:$AM, 10, FALSE), 1)</f>
        <v>3.0337028550233578E-3</v>
      </c>
      <c r="S6" s="7">
        <f>$B6 * IFERROR(VLOOKUP("LULUCF|NOx|Asthma symptoms cough", US_national_yearly!$D:$AM, 27, FALSE) / VLOOKUP("LULUCF|NOx|Asthma symptoms cough", US_national_yearly!$D:$AM, 10, FALSE), 1)</f>
        <v>3.0491571146199045E-3</v>
      </c>
      <c r="T6" s="7">
        <f>$B6 * IFERROR(VLOOKUP("LULUCF|NOx|Asthma symptoms cough", US_national_yearly!$D:$AM, 28, FALSE) / VLOOKUP("LULUCF|NOx|Asthma symptoms cough", US_national_yearly!$D:$AM, 10, FALSE), 1)</f>
        <v>3.0646113742164513E-3</v>
      </c>
      <c r="U6" s="7">
        <f>$B6 * IFERROR(VLOOKUP("LULUCF|NOx|Asthma symptoms cough", US_national_yearly!$D:$AM, 29, FALSE) / VLOOKUP("LULUCF|NOx|Asthma symptoms cough", US_national_yearly!$D:$AM, 10, FALSE), 1)</f>
        <v>3.0800656338129968E-3</v>
      </c>
      <c r="V6" s="7">
        <f>$B6 * IFERROR(VLOOKUP("LULUCF|NOx|Asthma symptoms cough", US_national_yearly!$D:$AM, 30, FALSE) / VLOOKUP("LULUCF|NOx|Asthma symptoms cough", US_national_yearly!$D:$AM, 10, FALSE), 1)</f>
        <v>3.095519893409544E-3</v>
      </c>
      <c r="W6" s="7">
        <f>$B6 * IFERROR(VLOOKUP("LULUCF|NOx|Asthma symptoms cough", US_national_yearly!$D:$AM, 31, FALSE) / VLOOKUP("LULUCF|NOx|Asthma symptoms cough", US_national_yearly!$D:$AM, 10, FALSE), 1)</f>
        <v>3.1109741530060903E-3</v>
      </c>
      <c r="X6" s="7">
        <f>$B6 * IFERROR(VLOOKUP("LULUCF|NOx|Asthma symptoms cough", US_national_yearly!$D:$AM, 32, FALSE) / VLOOKUP("LULUCF|NOx|Asthma symptoms cough", US_national_yearly!$D:$AM, 10, FALSE), 1)</f>
        <v>3.1253333807250362E-3</v>
      </c>
      <c r="Y6" s="7">
        <f>$B6 * IFERROR(VLOOKUP("LULUCF|NOx|Asthma symptoms cough", US_national_yearly!$D:$AM, 33, FALSE) / VLOOKUP("LULUCF|NOx|Asthma symptoms cough", US_national_yearly!$D:$AM, 10, FALSE), 1)</f>
        <v>3.1396926084439822E-3</v>
      </c>
      <c r="Z6" s="7">
        <f>$B6 * IFERROR(VLOOKUP("LULUCF|NOx|Asthma symptoms cough", US_national_yearly!$D:$AM, 34, FALSE) / VLOOKUP("LULUCF|NOx|Asthma symptoms cough", US_national_yearly!$D:$AM, 10, FALSE), 1)</f>
        <v>3.1540518361629281E-3</v>
      </c>
      <c r="AA6" s="7">
        <f>$B6 * IFERROR(VLOOKUP("LULUCF|NOx|Asthma symptoms cough", US_national_yearly!$D:$AM, 35, FALSE) / VLOOKUP("LULUCF|NOx|Asthma symptoms cough", US_national_yearly!$D:$AM, 10, FALSE), 1)</f>
        <v>3.1684110638818745E-3</v>
      </c>
      <c r="AB6" s="7">
        <f>$B6 * IFERROR(VLOOKUP("LULUCF|NOx|Asthma symptoms cough", US_national_yearly!$D:$AM, 36, FALSE) / VLOOKUP("LULUCF|NOx|Asthma symptoms cough", US_national_yearly!$D:$AM, 10, FALSE), 1)</f>
        <v>3.1827702916008209E-3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3.6570884053084597E-3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3.707086782872774E-3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3.7570851604370879E-3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3.8070835380014023E-3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3.857081915565717E-3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3.8969986332149042E-3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3.9369153508640913E-3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3.9506541143710695E-3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3.9643928778780486E-3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3.9781316413850269E-3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3.9918704048920051E-3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4.0056091683989834E-3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4.0215402878274603E-3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4.0374714072559372E-3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4.0534025266844133E-3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4.0693336461128894E-3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4.0852647655413663E-3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4.1060758815972178E-3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4.1268869976530693E-3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4.1476981137089199E-3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4.1685092297647705E-3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4.1893203458206211E-3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4.2086568628803746E-3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4.2279933799401273E-3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4.2473298969998817E-3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4.2666664140596344E-3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4.2860029311193879E-3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5.5875911281462994E-3</v>
      </c>
      <c r="C8" s="7">
        <f>$B8 * IFERROR(VLOOKUP("LULUCF|NOx|Asthma symptoms wheeze", US_national_yearly!$D:$AM, 11, FALSE) / VLOOKUP("LULUCF|NOx|Asthma symptoms wheeze", US_national_yearly!$D:$AM, 10, FALSE), 1)</f>
        <v>5.6639826343232742E-3</v>
      </c>
      <c r="D8" s="7">
        <f>$B8 * IFERROR(VLOOKUP("LULUCF|NOx|Asthma symptoms wheeze", US_national_yearly!$D:$AM, 12, FALSE) / VLOOKUP("LULUCF|NOx|Asthma symptoms wheeze", US_national_yearly!$D:$AM, 10, FALSE), 1)</f>
        <v>5.7403741405002515E-3</v>
      </c>
      <c r="E8" s="7">
        <f>$B8 * IFERROR(VLOOKUP("LULUCF|NOx|Asthma symptoms wheeze", US_national_yearly!$D:$AM, 13, FALSE) / VLOOKUP("LULUCF|NOx|Asthma symptoms wheeze", US_national_yearly!$D:$AM, 10, FALSE), 1)</f>
        <v>5.8167656466772263E-3</v>
      </c>
      <c r="F8" s="7">
        <f>$B8 * IFERROR(VLOOKUP("LULUCF|NOx|Asthma symptoms wheeze", US_national_yearly!$D:$AM, 14, FALSE) / VLOOKUP("LULUCF|NOx|Asthma symptoms wheeze", US_national_yearly!$D:$AM, 10, FALSE), 1)</f>
        <v>5.8931571528542011E-3</v>
      </c>
      <c r="G8" s="7">
        <f>$B8 * IFERROR(VLOOKUP("LULUCF|NOx|Asthma symptoms wheeze", US_national_yearly!$D:$AM, 15, FALSE) / VLOOKUP("LULUCF|NOx|Asthma symptoms wheeze", US_national_yearly!$D:$AM, 10, FALSE), 1)</f>
        <v>5.9541450955901609E-3</v>
      </c>
      <c r="H8" s="7">
        <f>$B8 * IFERROR(VLOOKUP("LULUCF|NOx|Asthma symptoms wheeze", US_national_yearly!$D:$AM, 16, FALSE) / VLOOKUP("LULUCF|NOx|Asthma symptoms wheeze", US_national_yearly!$D:$AM, 10, FALSE), 1)</f>
        <v>6.0151330383261198E-3</v>
      </c>
      <c r="I8" s="7">
        <f>$B8 * IFERROR(VLOOKUP("LULUCF|NOx|Asthma symptoms wheeze", US_national_yearly!$D:$AM, 17, FALSE) / VLOOKUP("LULUCF|NOx|Asthma symptoms wheeze", US_national_yearly!$D:$AM, 10, FALSE), 1)</f>
        <v>6.0361242164249018E-3</v>
      </c>
      <c r="J8" s="7">
        <f>$B8 * IFERROR(VLOOKUP("LULUCF|NOx|Asthma symptoms wheeze", US_national_yearly!$D:$AM, 18, FALSE) / VLOOKUP("LULUCF|NOx|Asthma symptoms wheeze", US_national_yearly!$D:$AM, 10, FALSE), 1)</f>
        <v>6.0571153945236838E-3</v>
      </c>
      <c r="K8" s="7">
        <f>$B8 * IFERROR(VLOOKUP("LULUCF|NOx|Asthma symptoms wheeze", US_national_yearly!$D:$AM, 19, FALSE) / VLOOKUP("LULUCF|NOx|Asthma symptoms wheeze", US_national_yearly!$D:$AM, 10, FALSE), 1)</f>
        <v>6.078106572622464E-3</v>
      </c>
      <c r="L8" s="7">
        <f>$B8 * IFERROR(VLOOKUP("LULUCF|NOx|Asthma symptoms wheeze", US_national_yearly!$D:$AM, 20, FALSE) / VLOOKUP("LULUCF|NOx|Asthma symptoms wheeze", US_national_yearly!$D:$AM, 10, FALSE), 1)</f>
        <v>6.0990977507212468E-3</v>
      </c>
      <c r="M8" s="7">
        <f>$B8 * IFERROR(VLOOKUP("LULUCF|NOx|Asthma symptoms wheeze", US_national_yearly!$D:$AM, 21, FALSE) / VLOOKUP("LULUCF|NOx|Asthma symptoms wheeze", US_national_yearly!$D:$AM, 10, FALSE), 1)</f>
        <v>6.1200889288200279E-3</v>
      </c>
      <c r="N8" s="7">
        <f>$B8 * IFERROR(VLOOKUP("LULUCF|NOx|Asthma symptoms wheeze", US_national_yearly!$D:$AM, 22, FALSE) / VLOOKUP("LULUCF|NOx|Asthma symptoms wheeze", US_national_yearly!$D:$AM, 10, FALSE), 1)</f>
        <v>6.1444297629909958E-3</v>
      </c>
      <c r="O8" s="7">
        <f>$B8 * IFERROR(VLOOKUP("LULUCF|NOx|Asthma symptoms wheeze", US_national_yearly!$D:$AM, 23, FALSE) / VLOOKUP("LULUCF|NOx|Asthma symptoms wheeze", US_national_yearly!$D:$AM, 10, FALSE), 1)</f>
        <v>6.1687705971619653E-3</v>
      </c>
      <c r="P8" s="7">
        <f>$B8 * IFERROR(VLOOKUP("LULUCF|NOx|Asthma symptoms wheeze", US_national_yearly!$D:$AM, 24, FALSE) / VLOOKUP("LULUCF|NOx|Asthma symptoms wheeze", US_national_yearly!$D:$AM, 10, FALSE), 1)</f>
        <v>6.1931114313329332E-3</v>
      </c>
      <c r="Q8" s="7">
        <f>$B8 * IFERROR(VLOOKUP("LULUCF|NOx|Asthma symptoms wheeze", US_national_yearly!$D:$AM, 25, FALSE) / VLOOKUP("LULUCF|NOx|Asthma symptoms wheeze", US_national_yearly!$D:$AM, 10, FALSE), 1)</f>
        <v>6.2174522655039028E-3</v>
      </c>
      <c r="R8" s="7">
        <f>$B8 * IFERROR(VLOOKUP("LULUCF|NOx|Asthma symptoms wheeze", US_national_yearly!$D:$AM, 26, FALSE) / VLOOKUP("LULUCF|NOx|Asthma symptoms wheeze", US_national_yearly!$D:$AM, 10, FALSE), 1)</f>
        <v>6.2417930996748706E-3</v>
      </c>
      <c r="S8" s="7">
        <f>$B8 * IFERROR(VLOOKUP("LULUCF|NOx|Asthma symptoms wheeze", US_national_yearly!$D:$AM, 27, FALSE) / VLOOKUP("LULUCF|NOx|Asthma symptoms wheeze", US_national_yearly!$D:$AM, 10, FALSE), 1)</f>
        <v>6.2735899815815569E-3</v>
      </c>
      <c r="T8" s="7">
        <f>$B8 * IFERROR(VLOOKUP("LULUCF|NOx|Asthma symptoms wheeze", US_national_yearly!$D:$AM, 28, FALSE) / VLOOKUP("LULUCF|NOx|Asthma symptoms wheeze", US_national_yearly!$D:$AM, 10, FALSE), 1)</f>
        <v>6.3053868634882432E-3</v>
      </c>
      <c r="U8" s="7">
        <f>$B8 * IFERROR(VLOOKUP("LULUCF|NOx|Asthma symptoms wheeze", US_national_yearly!$D:$AM, 29, FALSE) / VLOOKUP("LULUCF|NOx|Asthma symptoms wheeze", US_national_yearly!$D:$AM, 10, FALSE), 1)</f>
        <v>6.3371837453949295E-3</v>
      </c>
      <c r="V8" s="7">
        <f>$B8 * IFERROR(VLOOKUP("LULUCF|NOx|Asthma symptoms wheeze", US_national_yearly!$D:$AM, 30, FALSE) / VLOOKUP("LULUCF|NOx|Asthma symptoms wheeze", US_national_yearly!$D:$AM, 10, FALSE), 1)</f>
        <v>6.3689806273016175E-3</v>
      </c>
      <c r="W8" s="7">
        <f>$B8 * IFERROR(VLOOKUP("LULUCF|NOx|Asthma symptoms wheeze", US_national_yearly!$D:$AM, 31, FALSE) / VLOOKUP("LULUCF|NOx|Asthma symptoms wheeze", US_national_yearly!$D:$AM, 10, FALSE), 1)</f>
        <v>6.400777509208303E-3</v>
      </c>
      <c r="X8" s="7">
        <f>$B8 * IFERROR(VLOOKUP("LULUCF|NOx|Asthma symptoms wheeze", US_national_yearly!$D:$AM, 32, FALSE) / VLOOKUP("LULUCF|NOx|Asthma symptoms wheeze", US_national_yearly!$D:$AM, 10, FALSE), 1)</f>
        <v>6.4303213812419687E-3</v>
      </c>
      <c r="Y8" s="7">
        <f>$B8 * IFERROR(VLOOKUP("LULUCF|NOx|Asthma symptoms wheeze", US_national_yearly!$D:$AM, 33, FALSE) / VLOOKUP("LULUCF|NOx|Asthma symptoms wheeze", US_national_yearly!$D:$AM, 10, FALSE), 1)</f>
        <v>6.4598652532756326E-3</v>
      </c>
      <c r="Z8" s="7">
        <f>$B8 * IFERROR(VLOOKUP("LULUCF|NOx|Asthma symptoms wheeze", US_national_yearly!$D:$AM, 34, FALSE) / VLOOKUP("LULUCF|NOx|Asthma symptoms wheeze", US_national_yearly!$D:$AM, 10, FALSE), 1)</f>
        <v>6.4894091253092983E-3</v>
      </c>
      <c r="AA8" s="7">
        <f>$B8 * IFERROR(VLOOKUP("LULUCF|NOx|Asthma symptoms wheeze", US_national_yearly!$D:$AM, 35, FALSE) / VLOOKUP("LULUCF|NOx|Asthma symptoms wheeze", US_national_yearly!$D:$AM, 10, FALSE), 1)</f>
        <v>6.5189529973429632E-3</v>
      </c>
      <c r="AB8" s="7">
        <f>$B8 * IFERROR(VLOOKUP("LULUCF|NOx|Asthma symptoms wheeze", US_national_yearly!$D:$AM, 36, FALSE) / VLOOKUP("LULUCF|NOx|Asthma symptoms wheeze", US_national_yearly!$D:$AM, 10, FALSE), 1)</f>
        <v>6.5484968693766289E-3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9.4389163274299497E-5</v>
      </c>
      <c r="C12" s="7">
        <f>$B12 * IFERROR(VLOOKUP("LULUCF|NOx|Respiratory hospital admissions", US_national_yearly!$D:$AM, 11, FALSE) / VLOOKUP("LULUCF|NOx|Respiratory hospital admissions", US_national_yearly!$D:$AM, 10, FALSE), 1)</f>
        <v>9.6743669303735148E-5</v>
      </c>
      <c r="D12" s="7">
        <f>$B12 * IFERROR(VLOOKUP("LULUCF|NOx|Respiratory hospital admissions", US_national_yearly!$D:$AM, 12, FALSE) / VLOOKUP("LULUCF|NOx|Respiratory hospital admissions", US_national_yearly!$D:$AM, 10, FALSE), 1)</f>
        <v>9.9098175333170812E-5</v>
      </c>
      <c r="E12" s="7">
        <f>$B12 * IFERROR(VLOOKUP("LULUCF|NOx|Respiratory hospital admissions", US_national_yearly!$D:$AM, 13, FALSE) / VLOOKUP("LULUCF|NOx|Respiratory hospital admissions", US_national_yearly!$D:$AM, 10, FALSE), 1)</f>
        <v>1.0145268136260648E-4</v>
      </c>
      <c r="F12" s="7">
        <f>$B12 * IFERROR(VLOOKUP("LULUCF|NOx|Respiratory hospital admissions", US_national_yearly!$D:$AM, 14, FALSE) / VLOOKUP("LULUCF|NOx|Respiratory hospital admissions", US_national_yearly!$D:$AM, 10, FALSE), 1)</f>
        <v>1.0380718739204215E-4</v>
      </c>
      <c r="G12" s="7">
        <f>$B12 * IFERROR(VLOOKUP("LULUCF|NOx|Respiratory hospital admissions", US_national_yearly!$D:$AM, 15, FALSE) / VLOOKUP("LULUCF|NOx|Respiratory hospital admissions", US_national_yearly!$D:$AM, 10, FALSE), 1)</f>
        <v>1.0605817529402865E-4</v>
      </c>
      <c r="H12" s="7">
        <f>$B12 * IFERROR(VLOOKUP("LULUCF|NOx|Respiratory hospital admissions", US_national_yearly!$D:$AM, 16, FALSE) / VLOOKUP("LULUCF|NOx|Respiratory hospital admissions", US_national_yearly!$D:$AM, 10, FALSE), 1)</f>
        <v>1.0830916319601516E-4</v>
      </c>
      <c r="I12" s="7">
        <f>$B12 * IFERROR(VLOOKUP("LULUCF|NOx|Respiratory hospital admissions", US_national_yearly!$D:$AM, 17, FALSE) / VLOOKUP("LULUCF|NOx|Respiratory hospital admissions", US_national_yearly!$D:$AM, 10, FALSE), 1)</f>
        <v>1.1022029820042983E-4</v>
      </c>
      <c r="J12" s="7">
        <f>$B12 * IFERROR(VLOOKUP("LULUCF|NOx|Respiratory hospital admissions", US_national_yearly!$D:$AM, 18, FALSE) / VLOOKUP("LULUCF|NOx|Respiratory hospital admissions", US_national_yearly!$D:$AM, 10, FALSE), 1)</f>
        <v>1.1213143320484449E-4</v>
      </c>
      <c r="K12" s="7">
        <f>$B12 * IFERROR(VLOOKUP("LULUCF|NOx|Respiratory hospital admissions", US_national_yearly!$D:$AM, 19, FALSE) / VLOOKUP("LULUCF|NOx|Respiratory hospital admissions", US_national_yearly!$D:$AM, 10, FALSE), 1)</f>
        <v>1.1404256820925916E-4</v>
      </c>
      <c r="L12" s="7">
        <f>$B12 * IFERROR(VLOOKUP("LULUCF|NOx|Respiratory hospital admissions", US_national_yearly!$D:$AM, 20, FALSE) / VLOOKUP("LULUCF|NOx|Respiratory hospital admissions", US_national_yearly!$D:$AM, 10, FALSE), 1)</f>
        <v>1.1595370321367383E-4</v>
      </c>
      <c r="M12" s="7">
        <f>$B12 * IFERROR(VLOOKUP("LULUCF|NOx|Respiratory hospital admissions", US_national_yearly!$D:$AM, 21, FALSE) / VLOOKUP("LULUCF|NOx|Respiratory hospital admissions", US_national_yearly!$D:$AM, 10, FALSE), 1)</f>
        <v>1.1786483821808851E-4</v>
      </c>
      <c r="N12" s="7">
        <f>$B12 * IFERROR(VLOOKUP("LULUCF|NOx|Respiratory hospital admissions", US_national_yearly!$D:$AM, 22, FALSE) / VLOOKUP("LULUCF|NOx|Respiratory hospital admissions", US_national_yearly!$D:$AM, 10, FALSE), 1)</f>
        <v>1.1914246637768332E-4</v>
      </c>
      <c r="O12" s="7">
        <f>$B12 * IFERROR(VLOOKUP("LULUCF|NOx|Respiratory hospital admissions", US_national_yearly!$D:$AM, 23, FALSE) / VLOOKUP("LULUCF|NOx|Respiratory hospital admissions", US_national_yearly!$D:$AM, 10, FALSE), 1)</f>
        <v>1.2042009453727818E-4</v>
      </c>
      <c r="P12" s="7">
        <f>$B12 * IFERROR(VLOOKUP("LULUCF|NOx|Respiratory hospital admissions", US_national_yearly!$D:$AM, 24, FALSE) / VLOOKUP("LULUCF|NOx|Respiratory hospital admissions", US_national_yearly!$D:$AM, 10, FALSE), 1)</f>
        <v>1.2169772269687302E-4</v>
      </c>
      <c r="Q12" s="7">
        <f>$B12 * IFERROR(VLOOKUP("LULUCF|NOx|Respiratory hospital admissions", US_national_yearly!$D:$AM, 25, FALSE) / VLOOKUP("LULUCF|NOx|Respiratory hospital admissions", US_national_yearly!$D:$AM, 10, FALSE), 1)</f>
        <v>1.2297535085646787E-4</v>
      </c>
      <c r="R12" s="7">
        <f>$B12 * IFERROR(VLOOKUP("LULUCF|NOx|Respiratory hospital admissions", US_national_yearly!$D:$AM, 26, FALSE) / VLOOKUP("LULUCF|NOx|Respiratory hospital admissions", US_national_yearly!$D:$AM, 10, FALSE), 1)</f>
        <v>1.2425297901606271E-4</v>
      </c>
      <c r="S12" s="7">
        <f>$B12 * IFERROR(VLOOKUP("LULUCF|NOx|Respiratory hospital admissions", US_national_yearly!$D:$AM, 27, FALSE) / VLOOKUP("LULUCF|NOx|Respiratory hospital admissions", US_national_yearly!$D:$AM, 10, FALSE), 1)</f>
        <v>1.2493749756426064E-4</v>
      </c>
      <c r="T12" s="7">
        <f>$B12 * IFERROR(VLOOKUP("LULUCF|NOx|Respiratory hospital admissions", US_national_yearly!$D:$AM, 28, FALSE) / VLOOKUP("LULUCF|NOx|Respiratory hospital admissions", US_national_yearly!$D:$AM, 10, FALSE), 1)</f>
        <v>1.2562201611245855E-4</v>
      </c>
      <c r="U12" s="7">
        <f>$B12 * IFERROR(VLOOKUP("LULUCF|NOx|Respiratory hospital admissions", US_national_yearly!$D:$AM, 29, FALSE) / VLOOKUP("LULUCF|NOx|Respiratory hospital admissions", US_national_yearly!$D:$AM, 10, FALSE), 1)</f>
        <v>1.2630653466065645E-4</v>
      </c>
      <c r="V12" s="7">
        <f>$B12 * IFERROR(VLOOKUP("LULUCF|NOx|Respiratory hospital admissions", US_national_yearly!$D:$AM, 30, FALSE) / VLOOKUP("LULUCF|NOx|Respiratory hospital admissions", US_national_yearly!$D:$AM, 10, FALSE), 1)</f>
        <v>1.2699105320885433E-4</v>
      </c>
      <c r="W12" s="7">
        <f>$B12 * IFERROR(VLOOKUP("LULUCF|NOx|Respiratory hospital admissions", US_national_yearly!$D:$AM, 31, FALSE) / VLOOKUP("LULUCF|NOx|Respiratory hospital admissions", US_national_yearly!$D:$AM, 10, FALSE), 1)</f>
        <v>1.2767557175705227E-4</v>
      </c>
      <c r="X12" s="7">
        <f>$B12 * IFERROR(VLOOKUP("LULUCF|NOx|Respiratory hospital admissions", US_national_yearly!$D:$AM, 32, FALSE) / VLOOKUP("LULUCF|NOx|Respiratory hospital admissions", US_national_yearly!$D:$AM, 10, FALSE), 1)</f>
        <v>1.2814335125450183E-4</v>
      </c>
      <c r="Y12" s="7">
        <f>$B12 * IFERROR(VLOOKUP("LULUCF|NOx|Respiratory hospital admissions", US_national_yearly!$D:$AM, 33, FALSE) / VLOOKUP("LULUCF|NOx|Respiratory hospital admissions", US_national_yearly!$D:$AM, 10, FALSE), 1)</f>
        <v>1.2861113075195144E-4</v>
      </c>
      <c r="Z12" s="7">
        <f>$B12 * IFERROR(VLOOKUP("LULUCF|NOx|Respiratory hospital admissions", US_national_yearly!$D:$AM, 34, FALSE) / VLOOKUP("LULUCF|NOx|Respiratory hospital admissions", US_national_yearly!$D:$AM, 10, FALSE), 1)</f>
        <v>1.2907891024940105E-4</v>
      </c>
      <c r="AA12" s="7">
        <f>$B12 * IFERROR(VLOOKUP("LULUCF|NOx|Respiratory hospital admissions", US_national_yearly!$D:$AM, 35, FALSE) / VLOOKUP("LULUCF|NOx|Respiratory hospital admissions", US_national_yearly!$D:$AM, 10, FALSE), 1)</f>
        <v>1.2954668974685064E-4</v>
      </c>
      <c r="AB12" s="7">
        <f>$B12 * IFERROR(VLOOKUP("LULUCF|NOx|Respiratory hospital admissions", US_national_yearly!$D:$AM, 36, FALSE) / VLOOKUP("LULUCF|NOx|Respiratory hospital admissions", US_national_yearly!$D:$AM, 10, FALSE), 1)</f>
        <v>1.3001446924430023E-4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5.439783730399972E-4</v>
      </c>
      <c r="C13" s="7">
        <f>$B13 * IFERROR(VLOOKUP("LULUCF|NOx|Non-fatal heart attacks", US_national_yearly!$D:$AM, 11, FALSE) / VLOOKUP("LULUCF|NOx|Non-fatal heart attacks", US_national_yearly!$D:$AM, 10, FALSE), 1)</f>
        <v>5.5953023544968517E-4</v>
      </c>
      <c r="D13" s="7">
        <f>$B13 * IFERROR(VLOOKUP("LULUCF|NOx|Non-fatal heart attacks", US_national_yearly!$D:$AM, 12, FALSE) / VLOOKUP("LULUCF|NOx|Non-fatal heart attacks", US_national_yearly!$D:$AM, 10, FALSE), 1)</f>
        <v>5.7508209785937315E-4</v>
      </c>
      <c r="E13" s="7">
        <f>$B13 * IFERROR(VLOOKUP("LULUCF|NOx|Non-fatal heart attacks", US_national_yearly!$D:$AM, 13, FALSE) / VLOOKUP("LULUCF|NOx|Non-fatal heart attacks", US_national_yearly!$D:$AM, 10, FALSE), 1)</f>
        <v>5.9063396026906101E-4</v>
      </c>
      <c r="F13" s="7">
        <f>$B13 * IFERROR(VLOOKUP("LULUCF|NOx|Non-fatal heart attacks", US_national_yearly!$D:$AM, 14, FALSE) / VLOOKUP("LULUCF|NOx|Non-fatal heart attacks", US_national_yearly!$D:$AM, 10, FALSE), 1)</f>
        <v>6.0618582267874899E-4</v>
      </c>
      <c r="G13" s="7">
        <f>$B13 * IFERROR(VLOOKUP("LULUCF|NOx|Non-fatal heart attacks", US_national_yearly!$D:$AM, 15, FALSE) / VLOOKUP("LULUCF|NOx|Non-fatal heart attacks", US_national_yearly!$D:$AM, 10, FALSE), 1)</f>
        <v>6.2071900577843398E-4</v>
      </c>
      <c r="H13" s="7">
        <f>$B13 * IFERROR(VLOOKUP("LULUCF|NOx|Non-fatal heart attacks", US_national_yearly!$D:$AM, 16, FALSE) / VLOOKUP("LULUCF|NOx|Non-fatal heart attacks", US_national_yearly!$D:$AM, 10, FALSE), 1)</f>
        <v>6.3525218887811909E-4</v>
      </c>
      <c r="I13" s="7">
        <f>$B13 * IFERROR(VLOOKUP("LULUCF|NOx|Non-fatal heart attacks", US_national_yearly!$D:$AM, 17, FALSE) / VLOOKUP("LULUCF|NOx|Non-fatal heart attacks", US_national_yearly!$D:$AM, 10, FALSE), 1)</f>
        <v>6.467099424507691E-4</v>
      </c>
      <c r="J13" s="7">
        <f>$B13 * IFERROR(VLOOKUP("LULUCF|NOx|Non-fatal heart attacks", US_national_yearly!$D:$AM, 18, FALSE) / VLOOKUP("LULUCF|NOx|Non-fatal heart attacks", US_national_yearly!$D:$AM, 10, FALSE), 1)</f>
        <v>6.5816769602341921E-4</v>
      </c>
      <c r="K13" s="7">
        <f>$B13 * IFERROR(VLOOKUP("LULUCF|NOx|Non-fatal heart attacks", US_national_yearly!$D:$AM, 19, FALSE) / VLOOKUP("LULUCF|NOx|Non-fatal heart attacks", US_national_yearly!$D:$AM, 10, FALSE), 1)</f>
        <v>6.696254495960689E-4</v>
      </c>
      <c r="L13" s="7">
        <f>$B13 * IFERROR(VLOOKUP("LULUCF|NOx|Non-fatal heart attacks", US_national_yearly!$D:$AM, 20, FALSE) / VLOOKUP("LULUCF|NOx|Non-fatal heart attacks", US_national_yearly!$D:$AM, 10, FALSE), 1)</f>
        <v>6.8108320316871945E-4</v>
      </c>
      <c r="M13" s="7">
        <f>$B13 * IFERROR(VLOOKUP("LULUCF|NOx|Non-fatal heart attacks", US_national_yearly!$D:$AM, 21, FALSE) / VLOOKUP("LULUCF|NOx|Non-fatal heart attacks", US_national_yearly!$D:$AM, 10, FALSE), 1)</f>
        <v>6.9254095674136935E-4</v>
      </c>
      <c r="N13" s="7">
        <f>$B13 * IFERROR(VLOOKUP("LULUCF|NOx|Non-fatal heart attacks", US_national_yearly!$D:$AM, 22, FALSE) / VLOOKUP("LULUCF|NOx|Non-fatal heart attacks", US_national_yearly!$D:$AM, 10, FALSE), 1)</f>
        <v>6.9943428876513005E-4</v>
      </c>
      <c r="O13" s="7">
        <f>$B13 * IFERROR(VLOOKUP("LULUCF|NOx|Non-fatal heart attacks", US_national_yearly!$D:$AM, 23, FALSE) / VLOOKUP("LULUCF|NOx|Non-fatal heart attacks", US_national_yearly!$D:$AM, 10, FALSE), 1)</f>
        <v>7.0632762078889075E-4</v>
      </c>
      <c r="P13" s="7">
        <f>$B13 * IFERROR(VLOOKUP("LULUCF|NOx|Non-fatal heart attacks", US_national_yearly!$D:$AM, 24, FALSE) / VLOOKUP("LULUCF|NOx|Non-fatal heart attacks", US_national_yearly!$D:$AM, 10, FALSE), 1)</f>
        <v>7.1322095281265135E-4</v>
      </c>
      <c r="Q13" s="7">
        <f>$B13 * IFERROR(VLOOKUP("LULUCF|NOx|Non-fatal heart attacks", US_national_yearly!$D:$AM, 25, FALSE) / VLOOKUP("LULUCF|NOx|Non-fatal heart attacks", US_national_yearly!$D:$AM, 10, FALSE), 1)</f>
        <v>7.2011428483641227E-4</v>
      </c>
      <c r="R13" s="7">
        <f>$B13 * IFERROR(VLOOKUP("LULUCF|NOx|Non-fatal heart attacks", US_national_yearly!$D:$AM, 26, FALSE) / VLOOKUP("LULUCF|NOx|Non-fatal heart attacks", US_national_yearly!$D:$AM, 10, FALSE), 1)</f>
        <v>7.2700761686017297E-4</v>
      </c>
      <c r="S13" s="7">
        <f>$B13 * IFERROR(VLOOKUP("LULUCF|NOx|Non-fatal heart attacks", US_national_yearly!$D:$AM, 27, FALSE) / VLOOKUP("LULUCF|NOx|Non-fatal heart attacks", US_national_yearly!$D:$AM, 10, FALSE), 1)</f>
        <v>7.3013447994299942E-4</v>
      </c>
      <c r="T13" s="7">
        <f>$B13 * IFERROR(VLOOKUP("LULUCF|NOx|Non-fatal heart attacks", US_national_yearly!$D:$AM, 28, FALSE) / VLOOKUP("LULUCF|NOx|Non-fatal heart attacks", US_national_yearly!$D:$AM, 10, FALSE), 1)</f>
        <v>7.3326134302582598E-4</v>
      </c>
      <c r="U13" s="7">
        <f>$B13 * IFERROR(VLOOKUP("LULUCF|NOx|Non-fatal heart attacks", US_national_yearly!$D:$AM, 29, FALSE) / VLOOKUP("LULUCF|NOx|Non-fatal heart attacks", US_national_yearly!$D:$AM, 10, FALSE), 1)</f>
        <v>7.3638820610865254E-4</v>
      </c>
      <c r="V13" s="7">
        <f>$B13 * IFERROR(VLOOKUP("LULUCF|NOx|Non-fatal heart attacks", US_national_yearly!$D:$AM, 30, FALSE) / VLOOKUP("LULUCF|NOx|Non-fatal heart attacks", US_national_yearly!$D:$AM, 10, FALSE), 1)</f>
        <v>7.3951506919147909E-4</v>
      </c>
      <c r="W13" s="7">
        <f>$B13 * IFERROR(VLOOKUP("LULUCF|NOx|Non-fatal heart attacks", US_national_yearly!$D:$AM, 31, FALSE) / VLOOKUP("LULUCF|NOx|Non-fatal heart attacks", US_national_yearly!$D:$AM, 10, FALSE), 1)</f>
        <v>7.4264193227430554E-4</v>
      </c>
      <c r="X13" s="7">
        <f>$B13 * IFERROR(VLOOKUP("LULUCF|NOx|Non-fatal heart attacks", US_national_yearly!$D:$AM, 32, FALSE) / VLOOKUP("LULUCF|NOx|Non-fatal heart attacks", US_national_yearly!$D:$AM, 10, FALSE), 1)</f>
        <v>7.4473146671619021E-4</v>
      </c>
      <c r="Y13" s="7">
        <f>$B13 * IFERROR(VLOOKUP("LULUCF|NOx|Non-fatal heart attacks", US_national_yearly!$D:$AM, 33, FALSE) / VLOOKUP("LULUCF|NOx|Non-fatal heart attacks", US_national_yearly!$D:$AM, 10, FALSE), 1)</f>
        <v>7.4682100115807488E-4</v>
      </c>
      <c r="Z13" s="7">
        <f>$B13 * IFERROR(VLOOKUP("LULUCF|NOx|Non-fatal heart attacks", US_national_yearly!$D:$AM, 34, FALSE) / VLOOKUP("LULUCF|NOx|Non-fatal heart attacks", US_national_yearly!$D:$AM, 10, FALSE), 1)</f>
        <v>7.4891053559995933E-4</v>
      </c>
      <c r="AA13" s="7">
        <f>$B13 * IFERROR(VLOOKUP("LULUCF|NOx|Non-fatal heart attacks", US_national_yearly!$D:$AM, 35, FALSE) / VLOOKUP("LULUCF|NOx|Non-fatal heart attacks", US_national_yearly!$D:$AM, 10, FALSE), 1)</f>
        <v>7.51000070041844E-4</v>
      </c>
      <c r="AB13" s="7">
        <f>$B13 * IFERROR(VLOOKUP("LULUCF|NOx|Non-fatal heart attacks", US_national_yearly!$D:$AM, 36, FALSE) / VLOOKUP("LULUCF|NOx|Non-fatal heart attacks", US_national_yearly!$D:$AM, 10, FALSE), 1)</f>
        <v>7.5308960448372867E-4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0.33320623821941625</v>
      </c>
      <c r="C14" s="7">
        <f>$B14 * IFERROR(VLOOKUP("LULUCF|NOx|Minor restricted activity days", US_national_yearly!$D:$AM, 11, FALSE) / VLOOKUP("LULUCF|NOx|Minor restricted activity days", US_national_yearly!$D:$AM, 10, FALSE), 1)</f>
        <v>0.33371709930081844</v>
      </c>
      <c r="D14" s="7">
        <f>$B14 * IFERROR(VLOOKUP("LULUCF|NOx|Minor restricted activity days", US_national_yearly!$D:$AM, 12, FALSE) / VLOOKUP("LULUCF|NOx|Minor restricted activity days", US_national_yearly!$D:$AM, 10, FALSE), 1)</f>
        <v>0.33422796038222075</v>
      </c>
      <c r="E14" s="7">
        <f>$B14 * IFERROR(VLOOKUP("LULUCF|NOx|Minor restricted activity days", US_national_yearly!$D:$AM, 13, FALSE) / VLOOKUP("LULUCF|NOx|Minor restricted activity days", US_national_yearly!$D:$AM, 10, FALSE), 1)</f>
        <v>0.33473882146362305</v>
      </c>
      <c r="F14" s="7">
        <f>$B14 * IFERROR(VLOOKUP("LULUCF|NOx|Minor restricted activity days", US_national_yearly!$D:$AM, 14, FALSE) / VLOOKUP("LULUCF|NOx|Minor restricted activity days", US_national_yearly!$D:$AM, 10, FALSE), 1)</f>
        <v>0.3352496825450253</v>
      </c>
      <c r="G14" s="7">
        <f>$B14 * IFERROR(VLOOKUP("LULUCF|NOx|Minor restricted activity days", US_national_yearly!$D:$AM, 15, FALSE) / VLOOKUP("LULUCF|NOx|Minor restricted activity days", US_national_yearly!$D:$AM, 10, FALSE), 1)</f>
        <v>0.33617217606265182</v>
      </c>
      <c r="H14" s="7">
        <f>$B14 * IFERROR(VLOOKUP("LULUCF|NOx|Minor restricted activity days", US_national_yearly!$D:$AM, 16, FALSE) / VLOOKUP("LULUCF|NOx|Minor restricted activity days", US_national_yearly!$D:$AM, 10, FALSE), 1)</f>
        <v>0.33709466958027828</v>
      </c>
      <c r="I14" s="7">
        <f>$B14 * IFERROR(VLOOKUP("LULUCF|NOx|Minor restricted activity days", US_national_yearly!$D:$AM, 17, FALSE) / VLOOKUP("LULUCF|NOx|Minor restricted activity days", US_national_yearly!$D:$AM, 10, FALSE), 1)</f>
        <v>0.33889903042158748</v>
      </c>
      <c r="J14" s="7">
        <f>$B14 * IFERROR(VLOOKUP("LULUCF|NOx|Minor restricted activity days", US_national_yearly!$D:$AM, 18, FALSE) / VLOOKUP("LULUCF|NOx|Minor restricted activity days", US_national_yearly!$D:$AM, 10, FALSE), 1)</f>
        <v>0.3407033912628965</v>
      </c>
      <c r="K14" s="7">
        <f>$B14 * IFERROR(VLOOKUP("LULUCF|NOx|Minor restricted activity days", US_national_yearly!$D:$AM, 19, FALSE) / VLOOKUP("LULUCF|NOx|Minor restricted activity days", US_national_yearly!$D:$AM, 10, FALSE), 1)</f>
        <v>0.34250775210420564</v>
      </c>
      <c r="L14" s="7">
        <f>$B14 * IFERROR(VLOOKUP("LULUCF|NOx|Minor restricted activity days", US_national_yearly!$D:$AM, 20, FALSE) / VLOOKUP("LULUCF|NOx|Minor restricted activity days", US_national_yearly!$D:$AM, 10, FALSE), 1)</f>
        <v>0.34431211294551473</v>
      </c>
      <c r="M14" s="7">
        <f>$B14 * IFERROR(VLOOKUP("LULUCF|NOx|Minor restricted activity days", US_national_yearly!$D:$AM, 21, FALSE) / VLOOKUP("LULUCF|NOx|Minor restricted activity days", US_national_yearly!$D:$AM, 10, FALSE), 1)</f>
        <v>0.34611647378682386</v>
      </c>
      <c r="N14" s="7">
        <f>$B14 * IFERROR(VLOOKUP("LULUCF|NOx|Minor restricted activity days", US_national_yearly!$D:$AM, 22, FALSE) / VLOOKUP("LULUCF|NOx|Minor restricted activity days", US_national_yearly!$D:$AM, 10, FALSE), 1)</f>
        <v>0.34869990938161932</v>
      </c>
      <c r="O14" s="7">
        <f>$B14 * IFERROR(VLOOKUP("LULUCF|NOx|Minor restricted activity days", US_national_yearly!$D:$AM, 23, FALSE) / VLOOKUP("LULUCF|NOx|Minor restricted activity days", US_national_yearly!$D:$AM, 10, FALSE), 1)</f>
        <v>0.35128334497641472</v>
      </c>
      <c r="P14" s="7">
        <f>$B14 * IFERROR(VLOOKUP("LULUCF|NOx|Minor restricted activity days", US_national_yearly!$D:$AM, 24, FALSE) / VLOOKUP("LULUCF|NOx|Minor restricted activity days", US_national_yearly!$D:$AM, 10, FALSE), 1)</f>
        <v>0.35386678057121018</v>
      </c>
      <c r="Q14" s="7">
        <f>$B14 * IFERROR(VLOOKUP("LULUCF|NOx|Minor restricted activity days", US_national_yearly!$D:$AM, 25, FALSE) / VLOOKUP("LULUCF|NOx|Minor restricted activity days", US_national_yearly!$D:$AM, 10, FALSE), 1)</f>
        <v>0.35645021616600558</v>
      </c>
      <c r="R14" s="7">
        <f>$B14 * IFERROR(VLOOKUP("LULUCF|NOx|Minor restricted activity days", US_national_yearly!$D:$AM, 26, FALSE) / VLOOKUP("LULUCF|NOx|Minor restricted activity days", US_national_yearly!$D:$AM, 10, FALSE), 1)</f>
        <v>0.35903365176080099</v>
      </c>
      <c r="S14" s="7">
        <f>$B14 * IFERROR(VLOOKUP("LULUCF|NOx|Minor restricted activity days", US_national_yearly!$D:$AM, 27, FALSE) / VLOOKUP("LULUCF|NOx|Minor restricted activity days", US_national_yearly!$D:$AM, 10, FALSE), 1)</f>
        <v>0.36161654419379208</v>
      </c>
      <c r="T14" s="7">
        <f>$B14 * IFERROR(VLOOKUP("LULUCF|NOx|Minor restricted activity days", US_national_yearly!$D:$AM, 28, FALSE) / VLOOKUP("LULUCF|NOx|Minor restricted activity days", US_national_yearly!$D:$AM, 10, FALSE), 1)</f>
        <v>0.36419943662678306</v>
      </c>
      <c r="U14" s="7">
        <f>$B14 * IFERROR(VLOOKUP("LULUCF|NOx|Minor restricted activity days", US_national_yearly!$D:$AM, 29, FALSE) / VLOOKUP("LULUCF|NOx|Minor restricted activity days", US_national_yearly!$D:$AM, 10, FALSE), 1)</f>
        <v>0.36678232905977415</v>
      </c>
      <c r="V14" s="7">
        <f>$B14 * IFERROR(VLOOKUP("LULUCF|NOx|Minor restricted activity days", US_national_yearly!$D:$AM, 30, FALSE) / VLOOKUP("LULUCF|NOx|Minor restricted activity days", US_national_yearly!$D:$AM, 10, FALSE), 1)</f>
        <v>0.36936522149276518</v>
      </c>
      <c r="W14" s="7">
        <f>$B14 * IFERROR(VLOOKUP("LULUCF|NOx|Minor restricted activity days", US_national_yearly!$D:$AM, 31, FALSE) / VLOOKUP("LULUCF|NOx|Minor restricted activity days", US_national_yearly!$D:$AM, 10, FALSE), 1)</f>
        <v>0.37194811392575616</v>
      </c>
      <c r="X14" s="7">
        <f>$B14 * IFERROR(VLOOKUP("LULUCF|NOx|Minor restricted activity days", US_national_yearly!$D:$AM, 32, FALSE) / VLOOKUP("LULUCF|NOx|Minor restricted activity days", US_national_yearly!$D:$AM, 10, FALSE), 1)</f>
        <v>0.37413185108041941</v>
      </c>
      <c r="Y14" s="7">
        <f>$B14 * IFERROR(VLOOKUP("LULUCF|NOx|Minor restricted activity days", US_national_yearly!$D:$AM, 33, FALSE) / VLOOKUP("LULUCF|NOx|Minor restricted activity days", US_national_yearly!$D:$AM, 10, FALSE), 1)</f>
        <v>0.37631558823508265</v>
      </c>
      <c r="Z14" s="7">
        <f>$B14 * IFERROR(VLOOKUP("LULUCF|NOx|Minor restricted activity days", US_national_yearly!$D:$AM, 34, FALSE) / VLOOKUP("LULUCF|NOx|Minor restricted activity days", US_national_yearly!$D:$AM, 10, FALSE), 1)</f>
        <v>0.37849932538974584</v>
      </c>
      <c r="AA14" s="7">
        <f>$B14 * IFERROR(VLOOKUP("LULUCF|NOx|Minor restricted activity days", US_national_yearly!$D:$AM, 35, FALSE) / VLOOKUP("LULUCF|NOx|Minor restricted activity days", US_national_yearly!$D:$AM, 10, FALSE), 1)</f>
        <v>0.38068306254440909</v>
      </c>
      <c r="AB14" s="7">
        <f>$B14 * IFERROR(VLOOKUP("LULUCF|NOx|Minor restricted activity days", US_national_yearly!$D:$AM, 36, FALSE) / VLOOKUP("LULUCF|NOx|Minor restricted activity days", US_national_yearly!$D:$AM, 10, FALSE), 1)</f>
        <v>0.38286679969907234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5.6153044781639391E-2</v>
      </c>
      <c r="C15" s="7">
        <f>$B15 * IFERROR(VLOOKUP("LULUCF|NOx|Work loss days", US_national_yearly!$D:$AM, 11, FALSE) / VLOOKUP("LULUCF|NOx|Work loss days", US_national_yearly!$D:$AM, 10, FALSE), 1)</f>
        <v>5.6277954208913163E-2</v>
      </c>
      <c r="D15" s="7">
        <f>$B15 * IFERROR(VLOOKUP("LULUCF|NOx|Work loss days", US_national_yearly!$D:$AM, 12, FALSE) / VLOOKUP("LULUCF|NOx|Work loss days", US_national_yearly!$D:$AM, 10, FALSE), 1)</f>
        <v>5.6402863636186941E-2</v>
      </c>
      <c r="E15" s="7">
        <f>$B15 * IFERROR(VLOOKUP("LULUCF|NOx|Work loss days", US_national_yearly!$D:$AM, 13, FALSE) / VLOOKUP("LULUCF|NOx|Work loss days", US_national_yearly!$D:$AM, 10, FALSE), 1)</f>
        <v>5.6527773063460712E-2</v>
      </c>
      <c r="F15" s="7">
        <f>$B15 * IFERROR(VLOOKUP("LULUCF|NOx|Work loss days", US_national_yearly!$D:$AM, 14, FALSE) / VLOOKUP("LULUCF|NOx|Work loss days", US_national_yearly!$D:$AM, 10, FALSE), 1)</f>
        <v>5.6652682490734491E-2</v>
      </c>
      <c r="G15" s="7">
        <f>$B15 * IFERROR(VLOOKUP("LULUCF|NOx|Work loss days", US_national_yearly!$D:$AM, 15, FALSE) / VLOOKUP("LULUCF|NOx|Work loss days", US_national_yearly!$D:$AM, 10, FALSE), 1)</f>
        <v>5.6835051320087072E-2</v>
      </c>
      <c r="H15" s="7">
        <f>$B15 * IFERROR(VLOOKUP("LULUCF|NOx|Work loss days", US_national_yearly!$D:$AM, 16, FALSE) / VLOOKUP("LULUCF|NOx|Work loss days", US_national_yearly!$D:$AM, 10, FALSE), 1)</f>
        <v>5.7017420149439668E-2</v>
      </c>
      <c r="I15" s="7">
        <f>$B15 * IFERROR(VLOOKUP("LULUCF|NOx|Work loss days", US_national_yearly!$D:$AM, 17, FALSE) / VLOOKUP("LULUCF|NOx|Work loss days", US_national_yearly!$D:$AM, 10, FALSE), 1)</f>
        <v>5.7312847769290264E-2</v>
      </c>
      <c r="J15" s="7">
        <f>$B15 * IFERROR(VLOOKUP("LULUCF|NOx|Work loss days", US_national_yearly!$D:$AM, 18, FALSE) / VLOOKUP("LULUCF|NOx|Work loss days", US_national_yearly!$D:$AM, 10, FALSE), 1)</f>
        <v>5.7608275389140866E-2</v>
      </c>
      <c r="K15" s="7">
        <f>$B15 * IFERROR(VLOOKUP("LULUCF|NOx|Work loss days", US_national_yearly!$D:$AM, 19, FALSE) / VLOOKUP("LULUCF|NOx|Work loss days", US_national_yearly!$D:$AM, 10, FALSE), 1)</f>
        <v>5.7903703008991461E-2</v>
      </c>
      <c r="L15" s="7">
        <f>$B15 * IFERROR(VLOOKUP("LULUCF|NOx|Work loss days", US_national_yearly!$D:$AM, 20, FALSE) / VLOOKUP("LULUCF|NOx|Work loss days", US_national_yearly!$D:$AM, 10, FALSE), 1)</f>
        <v>5.819913062884205E-2</v>
      </c>
      <c r="M15" s="7">
        <f>$B15 * IFERROR(VLOOKUP("LULUCF|NOx|Work loss days", US_national_yearly!$D:$AM, 21, FALSE) / VLOOKUP("LULUCF|NOx|Work loss days", US_national_yearly!$D:$AM, 10, FALSE), 1)</f>
        <v>5.8494558248692652E-2</v>
      </c>
      <c r="N15" s="7">
        <f>$B15 * IFERROR(VLOOKUP("LULUCF|NOx|Work loss days", US_national_yearly!$D:$AM, 22, FALSE) / VLOOKUP("LULUCF|NOx|Work loss days", US_national_yearly!$D:$AM, 10, FALSE), 1)</f>
        <v>5.887903916768196E-2</v>
      </c>
      <c r="O15" s="7">
        <f>$B15 * IFERROR(VLOOKUP("LULUCF|NOx|Work loss days", US_national_yearly!$D:$AM, 23, FALSE) / VLOOKUP("LULUCF|NOx|Work loss days", US_national_yearly!$D:$AM, 10, FALSE), 1)</f>
        <v>5.9263520086671267E-2</v>
      </c>
      <c r="P15" s="7">
        <f>$B15 * IFERROR(VLOOKUP("LULUCF|NOx|Work loss days", US_national_yearly!$D:$AM, 24, FALSE) / VLOOKUP("LULUCF|NOx|Work loss days", US_national_yearly!$D:$AM, 10, FALSE), 1)</f>
        <v>5.9648001005660575E-2</v>
      </c>
      <c r="Q15" s="7">
        <f>$B15 * IFERROR(VLOOKUP("LULUCF|NOx|Work loss days", US_national_yearly!$D:$AM, 25, FALSE) / VLOOKUP("LULUCF|NOx|Work loss days", US_national_yearly!$D:$AM, 10, FALSE), 1)</f>
        <v>6.0032481924649869E-2</v>
      </c>
      <c r="R15" s="7">
        <f>$B15 * IFERROR(VLOOKUP("LULUCF|NOx|Work loss days", US_national_yearly!$D:$AM, 26, FALSE) / VLOOKUP("LULUCF|NOx|Work loss days", US_national_yearly!$D:$AM, 10, FALSE), 1)</f>
        <v>6.0416962843639191E-2</v>
      </c>
      <c r="S15" s="7">
        <f>$B15 * IFERROR(VLOOKUP("LULUCF|NOx|Work loss days", US_national_yearly!$D:$AM, 27, FALSE) / VLOOKUP("LULUCF|NOx|Work loss days", US_national_yearly!$D:$AM, 10, FALSE), 1)</f>
        <v>6.0845609907811203E-2</v>
      </c>
      <c r="T15" s="7">
        <f>$B15 * IFERROR(VLOOKUP("LULUCF|NOx|Work loss days", US_national_yearly!$D:$AM, 28, FALSE) / VLOOKUP("LULUCF|NOx|Work loss days", US_national_yearly!$D:$AM, 10, FALSE), 1)</f>
        <v>6.1274256971983215E-2</v>
      </c>
      <c r="U15" s="7">
        <f>$B15 * IFERROR(VLOOKUP("LULUCF|NOx|Work loss days", US_national_yearly!$D:$AM, 29, FALSE) / VLOOKUP("LULUCF|NOx|Work loss days", US_national_yearly!$D:$AM, 10, FALSE), 1)</f>
        <v>6.1702904036155214E-2</v>
      </c>
      <c r="V15" s="7">
        <f>$B15 * IFERROR(VLOOKUP("LULUCF|NOx|Work loss days", US_national_yearly!$D:$AM, 30, FALSE) / VLOOKUP("LULUCF|NOx|Work loss days", US_national_yearly!$D:$AM, 10, FALSE), 1)</f>
        <v>6.2131551100327226E-2</v>
      </c>
      <c r="W15" s="7">
        <f>$B15 * IFERROR(VLOOKUP("LULUCF|NOx|Work loss days", US_national_yearly!$D:$AM, 31, FALSE) / VLOOKUP("LULUCF|NOx|Work loss days", US_national_yearly!$D:$AM, 10, FALSE), 1)</f>
        <v>6.2560198164499245E-2</v>
      </c>
      <c r="X15" s="7">
        <f>$B15 * IFERROR(VLOOKUP("LULUCF|NOx|Work loss days", US_national_yearly!$D:$AM, 32, FALSE) / VLOOKUP("LULUCF|NOx|Work loss days", US_national_yearly!$D:$AM, 10, FALSE), 1)</f>
        <v>6.2932240962136218E-2</v>
      </c>
      <c r="Y15" s="7">
        <f>$B15 * IFERROR(VLOOKUP("LULUCF|NOx|Work loss days", US_national_yearly!$D:$AM, 33, FALSE) / VLOOKUP("LULUCF|NOx|Work loss days", US_national_yearly!$D:$AM, 10, FALSE), 1)</f>
        <v>6.3304283759773206E-2</v>
      </c>
      <c r="Z15" s="7">
        <f>$B15 * IFERROR(VLOOKUP("LULUCF|NOx|Work loss days", US_national_yearly!$D:$AM, 34, FALSE) / VLOOKUP("LULUCF|NOx|Work loss days", US_national_yearly!$D:$AM, 10, FALSE), 1)</f>
        <v>6.3676326557410193E-2</v>
      </c>
      <c r="AA15" s="7">
        <f>$B15 * IFERROR(VLOOKUP("LULUCF|NOx|Work loss days", US_national_yearly!$D:$AM, 35, FALSE) / VLOOKUP("LULUCF|NOx|Work loss days", US_national_yearly!$D:$AM, 10, FALSE), 1)</f>
        <v>6.404836935504718E-2</v>
      </c>
      <c r="AB15" s="7">
        <f>$B15 * IFERROR(VLOOKUP("LULUCF|NOx|Work loss days", US_national_yearly!$D:$AM, 36, FALSE) / VLOOKUP("LULUCF|NOx|Work loss days", US_national_yearly!$D:$AM, 10, FALSE), 1)</f>
        <v>6.4420412152684167E-2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1.3661927641381378E-4</v>
      </c>
      <c r="C17" s="7">
        <f>$B17 * IFERROR(VLOOKUP("LULUCF|NOx|Cardiovascular hospital admissions", US_national_yearly!$D:$AM, 11, FALSE) / VLOOKUP("LULUCF|NOx|Cardiovascular hospital admissions", US_national_yearly!$D:$AM, 10, FALSE), 1)</f>
        <v>1.4063378353660971E-4</v>
      </c>
      <c r="D17" s="7">
        <f>$B17 * IFERROR(VLOOKUP("LULUCF|NOx|Cardiovascular hospital admissions", US_national_yearly!$D:$AM, 12, FALSE) / VLOOKUP("LULUCF|NOx|Cardiovascular hospital admissions", US_national_yearly!$D:$AM, 10, FALSE), 1)</f>
        <v>1.4464829065940558E-4</v>
      </c>
      <c r="E17" s="7">
        <f>$B17 * IFERROR(VLOOKUP("LULUCF|NOx|Cardiovascular hospital admissions", US_national_yearly!$D:$AM, 13, FALSE) / VLOOKUP("LULUCF|NOx|Cardiovascular hospital admissions", US_national_yearly!$D:$AM, 10, FALSE), 1)</f>
        <v>1.4866279778220147E-4</v>
      </c>
      <c r="F17" s="7">
        <f>$B17 * IFERROR(VLOOKUP("LULUCF|NOx|Cardiovascular hospital admissions", US_national_yearly!$D:$AM, 14, FALSE) / VLOOKUP("LULUCF|NOx|Cardiovascular hospital admissions", US_national_yearly!$D:$AM, 10, FALSE), 1)</f>
        <v>1.526773049049974E-4</v>
      </c>
      <c r="G17" s="7">
        <f>$B17 * IFERROR(VLOOKUP("LULUCF|NOx|Cardiovascular hospital admissions", US_national_yearly!$D:$AM, 15, FALSE) / VLOOKUP("LULUCF|NOx|Cardiovascular hospital admissions", US_national_yearly!$D:$AM, 10, FALSE), 1)</f>
        <v>1.5649042277414985E-4</v>
      </c>
      <c r="H17" s="7">
        <f>$B17 * IFERROR(VLOOKUP("LULUCF|NOx|Cardiovascular hospital admissions", US_national_yearly!$D:$AM, 16, FALSE) / VLOOKUP("LULUCF|NOx|Cardiovascular hospital admissions", US_national_yearly!$D:$AM, 10, FALSE), 1)</f>
        <v>1.6030354064330236E-4</v>
      </c>
      <c r="I17" s="7">
        <f>$B17 * IFERROR(VLOOKUP("LULUCF|NOx|Cardiovascular hospital admissions", US_national_yearly!$D:$AM, 17, FALSE) / VLOOKUP("LULUCF|NOx|Cardiovascular hospital admissions", US_national_yearly!$D:$AM, 10, FALSE), 1)</f>
        <v>1.6351007860581962E-4</v>
      </c>
      <c r="J17" s="7">
        <f>$B17 * IFERROR(VLOOKUP("LULUCF|NOx|Cardiovascular hospital admissions", US_national_yearly!$D:$AM, 18, FALSE) / VLOOKUP("LULUCF|NOx|Cardiovascular hospital admissions", US_national_yearly!$D:$AM, 10, FALSE), 1)</f>
        <v>1.6671661656833688E-4</v>
      </c>
      <c r="K17" s="7">
        <f>$B17 * IFERROR(VLOOKUP("LULUCF|NOx|Cardiovascular hospital admissions", US_national_yearly!$D:$AM, 19, FALSE) / VLOOKUP("LULUCF|NOx|Cardiovascular hospital admissions", US_national_yearly!$D:$AM, 10, FALSE), 1)</f>
        <v>1.6992315453085414E-4</v>
      </c>
      <c r="L17" s="7">
        <f>$B17 * IFERROR(VLOOKUP("LULUCF|NOx|Cardiovascular hospital admissions", US_national_yearly!$D:$AM, 20, FALSE) / VLOOKUP("LULUCF|NOx|Cardiovascular hospital admissions", US_national_yearly!$D:$AM, 10, FALSE), 1)</f>
        <v>1.731296924933714E-4</v>
      </c>
      <c r="M17" s="7">
        <f>$B17 * IFERROR(VLOOKUP("LULUCF|NOx|Cardiovascular hospital admissions", US_national_yearly!$D:$AM, 21, FALSE) / VLOOKUP("LULUCF|NOx|Cardiovascular hospital admissions", US_national_yearly!$D:$AM, 10, FALSE), 1)</f>
        <v>1.7633623045588869E-4</v>
      </c>
      <c r="N17" s="7">
        <f>$B17 * IFERROR(VLOOKUP("LULUCF|NOx|Cardiovascular hospital admissions", US_national_yearly!$D:$AM, 22, FALSE) / VLOOKUP("LULUCF|NOx|Cardiovascular hospital admissions", US_national_yearly!$D:$AM, 10, FALSE), 1)</f>
        <v>1.7834138489179933E-4</v>
      </c>
      <c r="O17" s="7">
        <f>$B17 * IFERROR(VLOOKUP("LULUCF|NOx|Cardiovascular hospital admissions", US_national_yearly!$D:$AM, 23, FALSE) / VLOOKUP("LULUCF|NOx|Cardiovascular hospital admissions", US_national_yearly!$D:$AM, 10, FALSE), 1)</f>
        <v>1.8034653932771003E-4</v>
      </c>
      <c r="P17" s="7">
        <f>$B17 * IFERROR(VLOOKUP("LULUCF|NOx|Cardiovascular hospital admissions", US_national_yearly!$D:$AM, 24, FALSE) / VLOOKUP("LULUCF|NOx|Cardiovascular hospital admissions", US_national_yearly!$D:$AM, 10, FALSE), 1)</f>
        <v>1.8235169376362069E-4</v>
      </c>
      <c r="Q17" s="7">
        <f>$B17 * IFERROR(VLOOKUP("LULUCF|NOx|Cardiovascular hospital admissions", US_national_yearly!$D:$AM, 25, FALSE) / VLOOKUP("LULUCF|NOx|Cardiovascular hospital admissions", US_national_yearly!$D:$AM, 10, FALSE), 1)</f>
        <v>1.8435684819953136E-4</v>
      </c>
      <c r="R17" s="7">
        <f>$B17 * IFERROR(VLOOKUP("LULUCF|NOx|Cardiovascular hospital admissions", US_national_yearly!$D:$AM, 26, FALSE) / VLOOKUP("LULUCF|NOx|Cardiovascular hospital admissions", US_national_yearly!$D:$AM, 10, FALSE), 1)</f>
        <v>1.8636200263544202E-4</v>
      </c>
      <c r="S17" s="7">
        <f>$B17 * IFERROR(VLOOKUP("LULUCF|NOx|Cardiovascular hospital admissions", US_national_yearly!$D:$AM, 27, FALSE) / VLOOKUP("LULUCF|NOx|Cardiovascular hospital admissions", US_national_yearly!$D:$AM, 10, FALSE), 1)</f>
        <v>1.8727689954204339E-4</v>
      </c>
      <c r="T17" s="7">
        <f>$B17 * IFERROR(VLOOKUP("LULUCF|NOx|Cardiovascular hospital admissions", US_national_yearly!$D:$AM, 28, FALSE) / VLOOKUP("LULUCF|NOx|Cardiovascular hospital admissions", US_national_yearly!$D:$AM, 10, FALSE), 1)</f>
        <v>1.8819179644864473E-4</v>
      </c>
      <c r="U17" s="7">
        <f>$B17 * IFERROR(VLOOKUP("LULUCF|NOx|Cardiovascular hospital admissions", US_national_yearly!$D:$AM, 29, FALSE) / VLOOKUP("LULUCF|NOx|Cardiovascular hospital admissions", US_national_yearly!$D:$AM, 10, FALSE), 1)</f>
        <v>1.8910669335524608E-4</v>
      </c>
      <c r="V17" s="7">
        <f>$B17 * IFERROR(VLOOKUP("LULUCF|NOx|Cardiovascular hospital admissions", US_national_yearly!$D:$AM, 30, FALSE) / VLOOKUP("LULUCF|NOx|Cardiovascular hospital admissions", US_national_yearly!$D:$AM, 10, FALSE), 1)</f>
        <v>1.9002159026184742E-4</v>
      </c>
      <c r="W17" s="7">
        <f>$B17 * IFERROR(VLOOKUP("LULUCF|NOx|Cardiovascular hospital admissions", US_national_yearly!$D:$AM, 31, FALSE) / VLOOKUP("LULUCF|NOx|Cardiovascular hospital admissions", US_national_yearly!$D:$AM, 10, FALSE), 1)</f>
        <v>1.9093648716844879E-4</v>
      </c>
      <c r="X17" s="7">
        <f>$B17 * IFERROR(VLOOKUP("LULUCF|NOx|Cardiovascular hospital admissions", US_national_yearly!$D:$AM, 32, FALSE) / VLOOKUP("LULUCF|NOx|Cardiovascular hospital admissions", US_national_yearly!$D:$AM, 10, FALSE), 1)</f>
        <v>1.9144565901609581E-4</v>
      </c>
      <c r="Y17" s="7">
        <f>$B17 * IFERROR(VLOOKUP("LULUCF|NOx|Cardiovascular hospital admissions", US_national_yearly!$D:$AM, 33, FALSE) / VLOOKUP("LULUCF|NOx|Cardiovascular hospital admissions", US_national_yearly!$D:$AM, 10, FALSE), 1)</f>
        <v>1.9195483086374284E-4</v>
      </c>
      <c r="Z17" s="7">
        <f>$B17 * IFERROR(VLOOKUP("LULUCF|NOx|Cardiovascular hospital admissions", US_national_yearly!$D:$AM, 34, FALSE) / VLOOKUP("LULUCF|NOx|Cardiovascular hospital admissions", US_national_yearly!$D:$AM, 10, FALSE), 1)</f>
        <v>1.9246400271138986E-4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1.9297317455903689E-4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1.9348234640668391E-4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1.3252247904961111E-3</v>
      </c>
      <c r="C2" s="7">
        <f>$B2 * IFERROR(VLOOKUP("LULUCF|SO2|Premature mortality", US_national_yearly!$D:$AM, 11, FALSE) / VLOOKUP("LULUCF|SO2|Premature mortality", US_national_yearly!$D:$AM, 10, FALSE), 1)</f>
        <v>1.3420080454357474E-3</v>
      </c>
      <c r="D2" s="7">
        <f>$B2 * IFERROR(VLOOKUP("LULUCF|SO2|Premature mortality", US_national_yearly!$D:$AM, 12, FALSE) / VLOOKUP("LULUCF|SO2|Premature mortality", US_national_yearly!$D:$AM, 10, FALSE), 1)</f>
        <v>1.3587913003753837E-3</v>
      </c>
      <c r="E2" s="7">
        <f>$B2 * IFERROR(VLOOKUP("LULUCF|SO2|Premature mortality", US_national_yearly!$D:$AM, 13, FALSE) / VLOOKUP("LULUCF|SO2|Premature mortality", US_national_yearly!$D:$AM, 10, FALSE), 1)</f>
        <v>1.3755745553150199E-3</v>
      </c>
      <c r="F2" s="7">
        <f>$B2 * IFERROR(VLOOKUP("LULUCF|SO2|Premature mortality", US_national_yearly!$D:$AM, 14, FALSE) / VLOOKUP("LULUCF|SO2|Premature mortality", US_national_yearly!$D:$AM, 10, FALSE), 1)</f>
        <v>1.3923578102546562E-3</v>
      </c>
      <c r="G2" s="7">
        <f>$B2 * IFERROR(VLOOKUP("LULUCF|SO2|Premature mortality", US_national_yearly!$D:$AM, 15, FALSE) / VLOOKUP("LULUCF|SO2|Premature mortality", US_national_yearly!$D:$AM, 10, FALSE), 1)</f>
        <v>1.4246981913516327E-3</v>
      </c>
      <c r="H2" s="7">
        <f>$B2 * IFERROR(VLOOKUP("LULUCF|SO2|Premature mortality", US_national_yearly!$D:$AM, 16, FALSE) / VLOOKUP("LULUCF|SO2|Premature mortality", US_national_yearly!$D:$AM, 10, FALSE), 1)</f>
        <v>1.4570385724486093E-3</v>
      </c>
      <c r="I2" s="7">
        <f>$B2 * IFERROR(VLOOKUP("LULUCF|SO2|Premature mortality", US_national_yearly!$D:$AM, 17, FALSE) / VLOOKUP("LULUCF|SO2|Premature mortality", US_national_yearly!$D:$AM, 10, FALSE), 1)</f>
        <v>1.478411077902631E-3</v>
      </c>
      <c r="J2" s="7">
        <f>$B2 * IFERROR(VLOOKUP("LULUCF|SO2|Premature mortality", US_national_yearly!$D:$AM, 18, FALSE) / VLOOKUP("LULUCF|SO2|Premature mortality", US_national_yearly!$D:$AM, 10, FALSE), 1)</f>
        <v>1.4997835833566527E-3</v>
      </c>
      <c r="K2" s="7">
        <f>$B2 * IFERROR(VLOOKUP("LULUCF|SO2|Premature mortality", US_national_yearly!$D:$AM, 19, FALSE) / VLOOKUP("LULUCF|SO2|Premature mortality", US_national_yearly!$D:$AM, 10, FALSE), 1)</f>
        <v>1.5211560888106742E-3</v>
      </c>
      <c r="L2" s="7">
        <f>$B2 * IFERROR(VLOOKUP("LULUCF|SO2|Premature mortality", US_national_yearly!$D:$AM, 20, FALSE) / VLOOKUP("LULUCF|SO2|Premature mortality", US_national_yearly!$D:$AM, 10, FALSE), 1)</f>
        <v>1.5425285942646961E-3</v>
      </c>
      <c r="M2" s="7">
        <f>$B2 * IFERROR(VLOOKUP("LULUCF|SO2|Premature mortality", US_national_yearly!$D:$AM, 21, FALSE) / VLOOKUP("LULUCF|SO2|Premature mortality", US_national_yearly!$D:$AM, 10, FALSE), 1)</f>
        <v>1.5639010997187178E-3</v>
      </c>
      <c r="N2" s="7">
        <f>$B2 * IFERROR(VLOOKUP("LULUCF|SO2|Premature mortality", US_national_yearly!$D:$AM, 22, FALSE) / VLOOKUP("LULUCF|SO2|Premature mortality", US_national_yearly!$D:$AM, 10, FALSE), 1)</f>
        <v>1.5806004161775175E-3</v>
      </c>
      <c r="O2" s="7">
        <f>$B2 * IFERROR(VLOOKUP("LULUCF|SO2|Premature mortality", US_national_yearly!$D:$AM, 23, FALSE) / VLOOKUP("LULUCF|SO2|Premature mortality", US_national_yearly!$D:$AM, 10, FALSE), 1)</f>
        <v>1.5972997326363174E-3</v>
      </c>
      <c r="P2" s="7">
        <f>$B2 * IFERROR(VLOOKUP("LULUCF|SO2|Premature mortality", US_national_yearly!$D:$AM, 24, FALSE) / VLOOKUP("LULUCF|SO2|Premature mortality", US_national_yearly!$D:$AM, 10, FALSE), 1)</f>
        <v>1.6139990490951174E-3</v>
      </c>
      <c r="Q2" s="7">
        <f>$B2 * IFERROR(VLOOKUP("LULUCF|SO2|Premature mortality", US_national_yearly!$D:$AM, 25, FALSE) / VLOOKUP("LULUCF|SO2|Premature mortality", US_national_yearly!$D:$AM, 10, FALSE), 1)</f>
        <v>1.6306983655539171E-3</v>
      </c>
      <c r="R2" s="7">
        <f>$B2 * IFERROR(VLOOKUP("LULUCF|SO2|Premature mortality", US_national_yearly!$D:$AM, 26, FALSE) / VLOOKUP("LULUCF|SO2|Premature mortality", US_national_yearly!$D:$AM, 10, FALSE), 1)</f>
        <v>1.6473976820127166E-3</v>
      </c>
      <c r="S2" s="7">
        <f>$B2 * IFERROR(VLOOKUP("LULUCF|SO2|Premature mortality", US_national_yearly!$D:$AM, 27, FALSE) / VLOOKUP("LULUCF|SO2|Premature mortality", US_national_yearly!$D:$AM, 10, FALSE), 1)</f>
        <v>1.6563403883311299E-3</v>
      </c>
      <c r="T2" s="7">
        <f>$B2 * IFERROR(VLOOKUP("LULUCF|SO2|Premature mortality", US_national_yearly!$D:$AM, 28, FALSE) / VLOOKUP("LULUCF|SO2|Premature mortality", US_national_yearly!$D:$AM, 10, FALSE), 1)</f>
        <v>1.665283094649543E-3</v>
      </c>
      <c r="U2" s="7">
        <f>$B2 * IFERROR(VLOOKUP("LULUCF|SO2|Premature mortality", US_national_yearly!$D:$AM, 29, FALSE) / VLOOKUP("LULUCF|SO2|Premature mortality", US_national_yearly!$D:$AM, 10, FALSE), 1)</f>
        <v>1.6742258009679561E-3</v>
      </c>
      <c r="V2" s="7">
        <f>$B2 * IFERROR(VLOOKUP("LULUCF|SO2|Premature mortality", US_national_yearly!$D:$AM, 30, FALSE) / VLOOKUP("LULUCF|SO2|Premature mortality", US_national_yearly!$D:$AM, 10, FALSE), 1)</f>
        <v>1.683168507286369E-3</v>
      </c>
      <c r="W2" s="7">
        <f>$B2 * IFERROR(VLOOKUP("LULUCF|SO2|Premature mortality", US_national_yearly!$D:$AM, 31, FALSE) / VLOOKUP("LULUCF|SO2|Premature mortality", US_national_yearly!$D:$AM, 10, FALSE), 1)</f>
        <v>1.6921112136047823E-3</v>
      </c>
      <c r="X2" s="7">
        <f>$B2 * IFERROR(VLOOKUP("LULUCF|SO2|Premature mortality", US_national_yearly!$D:$AM, 32, FALSE) / VLOOKUP("LULUCF|SO2|Premature mortality", US_national_yearly!$D:$AM, 10, FALSE), 1)</f>
        <v>1.6939279517470495E-3</v>
      </c>
      <c r="Y2" s="7">
        <f>$B2 * IFERROR(VLOOKUP("LULUCF|SO2|Premature mortality", US_national_yearly!$D:$AM, 33, FALSE) / VLOOKUP("LULUCF|SO2|Premature mortality", US_national_yearly!$D:$AM, 10, FALSE), 1)</f>
        <v>1.6957446898893168E-3</v>
      </c>
      <c r="Z2" s="7">
        <f>$B2 * IFERROR(VLOOKUP("LULUCF|SO2|Premature mortality", US_national_yearly!$D:$AM, 34, FALSE) / VLOOKUP("LULUCF|SO2|Premature mortality", US_national_yearly!$D:$AM, 10, FALSE), 1)</f>
        <v>1.6975614280315843E-3</v>
      </c>
      <c r="AA2" s="7">
        <f>$B2 * IFERROR(VLOOKUP("LULUCF|SO2|Premature mortality", US_national_yearly!$D:$AM, 35, FALSE) / VLOOKUP("LULUCF|SO2|Premature mortality", US_national_yearly!$D:$AM, 10, FALSE), 1)</f>
        <v>1.6993781661738517E-3</v>
      </c>
      <c r="AB2" s="7">
        <f>$B2 * IFERROR(VLOOKUP("LULUCF|SO2|Premature mortality", US_national_yearly!$D:$AM, 36, FALSE) / VLOOKUP("LULUCF|SO2|Premature mortality", US_national_yearly!$D:$AM, 10, FALSE), 1)</f>
        <v>1.7011949043161188E-3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3.1436918531472686E-6</v>
      </c>
      <c r="C3" s="7">
        <f>$B3 * IFERROR(VLOOKUP("LULUCF|SO2|Infant mortality", US_national_yearly!$D:$AM, 11, FALSE) / VLOOKUP("LULUCF|SO2|Infant mortality", US_national_yearly!$D:$AM, 10, FALSE), 1)</f>
        <v>3.1166869667018262E-6</v>
      </c>
      <c r="D3" s="7">
        <f>$B3 * IFERROR(VLOOKUP("LULUCF|SO2|Infant mortality", US_national_yearly!$D:$AM, 12, FALSE) / VLOOKUP("LULUCF|SO2|Infant mortality", US_national_yearly!$D:$AM, 10, FALSE), 1)</f>
        <v>3.0896820802563842E-6</v>
      </c>
      <c r="E3" s="7">
        <f>$B3 * IFERROR(VLOOKUP("LULUCF|SO2|Infant mortality", US_national_yearly!$D:$AM, 13, FALSE) / VLOOKUP("LULUCF|SO2|Infant mortality", US_national_yearly!$D:$AM, 10, FALSE), 1)</f>
        <v>3.0626771938109414E-6</v>
      </c>
      <c r="F3" s="7">
        <f>$B3 * IFERROR(VLOOKUP("LULUCF|SO2|Infant mortality", US_national_yearly!$D:$AM, 14, FALSE) / VLOOKUP("LULUCF|SO2|Infant mortality", US_national_yearly!$D:$AM, 10, FALSE), 1)</f>
        <v>3.035672307365499E-6</v>
      </c>
      <c r="G3" s="7">
        <f>$B3 * IFERROR(VLOOKUP("LULUCF|SO2|Infant mortality", US_national_yearly!$D:$AM, 15, FALSE) / VLOOKUP("LULUCF|SO2|Infant mortality", US_national_yearly!$D:$AM, 10, FALSE), 1)</f>
        <v>2.0220022545515173E-6</v>
      </c>
      <c r="H3" s="7">
        <f>$B3 * IFERROR(VLOOKUP("LULUCF|SO2|Infant mortality", US_national_yearly!$D:$AM, 16, FALSE) / VLOOKUP("LULUCF|SO2|Infant mortality", US_national_yearly!$D:$AM, 10, FALSE), 1)</f>
        <v>1.0083322017375372E-6</v>
      </c>
      <c r="I3" s="7">
        <f>$B3 * IFERROR(VLOOKUP("LULUCF|SO2|Infant mortality", US_national_yearly!$D:$AM, 17, FALSE) / VLOOKUP("LULUCF|SO2|Infant mortality", US_national_yearly!$D:$AM, 10, FALSE), 1)</f>
        <v>1.0020066293458553E-6</v>
      </c>
      <c r="J3" s="7">
        <f>$B3 * IFERROR(VLOOKUP("LULUCF|SO2|Infant mortality", US_national_yearly!$D:$AM, 18, FALSE) / VLOOKUP("LULUCF|SO2|Infant mortality", US_national_yearly!$D:$AM, 10, FALSE), 1)</f>
        <v>9.9568105695417367E-7</v>
      </c>
      <c r="K3" s="7">
        <f>$B3 * IFERROR(VLOOKUP("LULUCF|SO2|Infant mortality", US_national_yearly!$D:$AM, 19, FALSE) / VLOOKUP("LULUCF|SO2|Infant mortality", US_national_yearly!$D:$AM, 10, FALSE), 1)</f>
        <v>9.8935548456249181E-7</v>
      </c>
      <c r="L3" s="7">
        <f>$B3 * IFERROR(VLOOKUP("LULUCF|SO2|Infant mortality", US_national_yearly!$D:$AM, 20, FALSE) / VLOOKUP("LULUCF|SO2|Infant mortality", US_national_yearly!$D:$AM, 10, FALSE), 1)</f>
        <v>9.8302991217081037E-7</v>
      </c>
      <c r="M3" s="7">
        <f>$B3 * IFERROR(VLOOKUP("LULUCF|SO2|Infant mortality", US_national_yearly!$D:$AM, 21, FALSE) / VLOOKUP("LULUCF|SO2|Infant mortality", US_national_yearly!$D:$AM, 10, FALSE), 1)</f>
        <v>9.7670433977912851E-7</v>
      </c>
      <c r="N3" s="7">
        <f>$B3 * IFERROR(VLOOKUP("LULUCF|SO2|Infant mortality", US_national_yearly!$D:$AM, 22, FALSE) / VLOOKUP("LULUCF|SO2|Infant mortality", US_national_yearly!$D:$AM, 10, FALSE), 1)</f>
        <v>9.7273382534629376E-7</v>
      </c>
      <c r="O3" s="7">
        <f>$B3 * IFERROR(VLOOKUP("LULUCF|SO2|Infant mortality", US_national_yearly!$D:$AM, 23, FALSE) / VLOOKUP("LULUCF|SO2|Infant mortality", US_national_yearly!$D:$AM, 10, FALSE), 1)</f>
        <v>9.6876331091345901E-7</v>
      </c>
      <c r="P3" s="7">
        <f>$B3 * IFERROR(VLOOKUP("LULUCF|SO2|Infant mortality", US_national_yearly!$D:$AM, 24, FALSE) / VLOOKUP("LULUCF|SO2|Infant mortality", US_national_yearly!$D:$AM, 10, FALSE), 1)</f>
        <v>9.6479279648062426E-7</v>
      </c>
      <c r="Q3" s="7">
        <f>$B3 * IFERROR(VLOOKUP("LULUCF|SO2|Infant mortality", US_national_yearly!$D:$AM, 25, FALSE) / VLOOKUP("LULUCF|SO2|Infant mortality", US_national_yearly!$D:$AM, 10, FALSE), 1)</f>
        <v>9.6082228204778951E-7</v>
      </c>
      <c r="R3" s="7">
        <f>$B3 * IFERROR(VLOOKUP("LULUCF|SO2|Infant mortality", US_national_yearly!$D:$AM, 26, FALSE) / VLOOKUP("LULUCF|SO2|Infant mortality", US_national_yearly!$D:$AM, 10, FALSE), 1)</f>
        <v>9.5685176761495455E-7</v>
      </c>
      <c r="S3" s="7">
        <f>$B3 * IFERROR(VLOOKUP("LULUCF|SO2|Infant mortality", US_national_yearly!$D:$AM, 27, FALSE) / VLOOKUP("LULUCF|SO2|Infant mortality", US_national_yearly!$D:$AM, 10, FALSE), 1)</f>
        <v>9.5186654485561341E-7</v>
      </c>
      <c r="T3" s="7">
        <f>$B3 * IFERROR(VLOOKUP("LULUCF|SO2|Infant mortality", US_national_yearly!$D:$AM, 28, FALSE) / VLOOKUP("LULUCF|SO2|Infant mortality", US_national_yearly!$D:$AM, 10, FALSE), 1)</f>
        <v>9.4688132209627228E-7</v>
      </c>
      <c r="U3" s="7">
        <f>$B3 * IFERROR(VLOOKUP("LULUCF|SO2|Infant mortality", US_national_yearly!$D:$AM, 29, FALSE) / VLOOKUP("LULUCF|SO2|Infant mortality", US_national_yearly!$D:$AM, 10, FALSE), 1)</f>
        <v>9.4189609933693083E-7</v>
      </c>
      <c r="V3" s="7">
        <f>$B3 * IFERROR(VLOOKUP("LULUCF|SO2|Infant mortality", US_national_yearly!$D:$AM, 30, FALSE) / VLOOKUP("LULUCF|SO2|Infant mortality", US_national_yearly!$D:$AM, 10, FALSE), 1)</f>
        <v>9.3691087657758991E-7</v>
      </c>
      <c r="W3" s="7">
        <f>$B3 * IFERROR(VLOOKUP("LULUCF|SO2|Infant mortality", US_national_yearly!$D:$AM, 31, FALSE) / VLOOKUP("LULUCF|SO2|Infant mortality", US_national_yearly!$D:$AM, 10, FALSE), 1)</f>
        <v>9.3192565381824856E-7</v>
      </c>
      <c r="X3" s="7">
        <f>$B3 * IFERROR(VLOOKUP("LULUCF|SO2|Infant mortality", US_national_yearly!$D:$AM, 32, FALSE) / VLOOKUP("LULUCF|SO2|Infant mortality", US_national_yearly!$D:$AM, 10, FALSE), 1)</f>
        <v>9.2647526654325125E-7</v>
      </c>
      <c r="Y3" s="7">
        <f>$B3 * IFERROR(VLOOKUP("LULUCF|SO2|Infant mortality", US_national_yearly!$D:$AM, 33, FALSE) / VLOOKUP("LULUCF|SO2|Infant mortality", US_national_yearly!$D:$AM, 10, FALSE), 1)</f>
        <v>9.2102487926825363E-7</v>
      </c>
      <c r="Z3" s="7">
        <f>$B3 * IFERROR(VLOOKUP("LULUCF|SO2|Infant mortality", US_national_yearly!$D:$AM, 34, FALSE) / VLOOKUP("LULUCF|SO2|Infant mortality", US_national_yearly!$D:$AM, 10, FALSE), 1)</f>
        <v>9.1557449199325622E-7</v>
      </c>
      <c r="AA3" s="7">
        <f>$B3 * IFERROR(VLOOKUP("LULUCF|SO2|Infant mortality", US_national_yearly!$D:$AM, 35, FALSE) / VLOOKUP("LULUCF|SO2|Infant mortality", US_national_yearly!$D:$AM, 10, FALSE), 1)</f>
        <v>9.1012410471825859E-7</v>
      </c>
      <c r="AB3" s="7">
        <f>$B3 * IFERROR(VLOOKUP("LULUCF|SO2|Infant mortality", US_national_yearly!$D:$AM, 36, FALSE) / VLOOKUP("LULUCF|SO2|Infant mortality", US_national_yearly!$D:$AM, 10, FALSE), 1)</f>
        <v>9.0467371744326118E-7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2.7157406362290533E-3</v>
      </c>
      <c r="C6" s="7">
        <f>$B6 * IFERROR(VLOOKUP("LULUCF|SO2|Asthma symptoms cough", US_national_yearly!$D:$AM, 11, FALSE) / VLOOKUP("LULUCF|SO2|Asthma symptoms cough", US_national_yearly!$D:$AM, 10, FALSE), 1)</f>
        <v>2.7157406362290533E-3</v>
      </c>
      <c r="D6" s="7">
        <f>$B6 * IFERROR(VLOOKUP("LULUCF|SO2|Asthma symptoms cough", US_national_yearly!$D:$AM, 12, FALSE) / VLOOKUP("LULUCF|SO2|Asthma symptoms cough", US_national_yearly!$D:$AM, 10, FALSE), 1)</f>
        <v>2.7157406362290533E-3</v>
      </c>
      <c r="E6" s="7">
        <f>$B6 * IFERROR(VLOOKUP("LULUCF|SO2|Asthma symptoms cough", US_national_yearly!$D:$AM, 13, FALSE) / VLOOKUP("LULUCF|SO2|Asthma symptoms cough", US_national_yearly!$D:$AM, 10, FALSE), 1)</f>
        <v>2.7157406362290533E-3</v>
      </c>
      <c r="F6" s="7">
        <f>$B6 * IFERROR(VLOOKUP("LULUCF|SO2|Asthma symptoms cough", US_national_yearly!$D:$AM, 14, FALSE) / VLOOKUP("LULUCF|SO2|Asthma symptoms cough", US_national_yearly!$D:$AM, 10, FALSE), 1)</f>
        <v>2.7157406362290533E-3</v>
      </c>
      <c r="G6" s="7">
        <f>$B6 * IFERROR(VLOOKUP("LULUCF|SO2|Asthma symptoms cough", US_national_yearly!$D:$AM, 15, FALSE) / VLOOKUP("LULUCF|SO2|Asthma symptoms cough", US_national_yearly!$D:$AM, 10, FALSE), 1)</f>
        <v>2.7157406362290533E-3</v>
      </c>
      <c r="H6" s="7">
        <f>$B6 * IFERROR(VLOOKUP("LULUCF|SO2|Asthma symptoms cough", US_national_yearly!$D:$AM, 16, FALSE) / VLOOKUP("LULUCF|SO2|Asthma symptoms cough", US_national_yearly!$D:$AM, 10, FALSE), 1)</f>
        <v>2.7157406362290533E-3</v>
      </c>
      <c r="I6" s="7">
        <f>$B6 * IFERROR(VLOOKUP("LULUCF|SO2|Asthma symptoms cough", US_national_yearly!$D:$AM, 17, FALSE) / VLOOKUP("LULUCF|SO2|Asthma symptoms cough", US_national_yearly!$D:$AM, 10, FALSE), 1)</f>
        <v>2.7157406362290533E-3</v>
      </c>
      <c r="J6" s="7">
        <f>$B6 * IFERROR(VLOOKUP("LULUCF|SO2|Asthma symptoms cough", US_national_yearly!$D:$AM, 18, FALSE) / VLOOKUP("LULUCF|SO2|Asthma symptoms cough", US_national_yearly!$D:$AM, 10, FALSE), 1)</f>
        <v>2.7157406362290533E-3</v>
      </c>
      <c r="K6" s="7">
        <f>$B6 * IFERROR(VLOOKUP("LULUCF|SO2|Asthma symptoms cough", US_national_yearly!$D:$AM, 19, FALSE) / VLOOKUP("LULUCF|SO2|Asthma symptoms cough", US_national_yearly!$D:$AM, 10, FALSE), 1)</f>
        <v>2.7157406362290533E-3</v>
      </c>
      <c r="L6" s="7">
        <f>$B6 * IFERROR(VLOOKUP("LULUCF|SO2|Asthma symptoms cough", US_national_yearly!$D:$AM, 20, FALSE) / VLOOKUP("LULUCF|SO2|Asthma symptoms cough", US_national_yearly!$D:$AM, 10, FALSE), 1)</f>
        <v>2.7157406362290533E-3</v>
      </c>
      <c r="M6" s="7">
        <f>$B6 * IFERROR(VLOOKUP("LULUCF|SO2|Asthma symptoms cough", US_national_yearly!$D:$AM, 21, FALSE) / VLOOKUP("LULUCF|SO2|Asthma symptoms cough", US_national_yearly!$D:$AM, 10, FALSE), 1)</f>
        <v>2.7157406362290533E-3</v>
      </c>
      <c r="N6" s="7">
        <f>$B6 * IFERROR(VLOOKUP("LULUCF|SO2|Asthma symptoms cough", US_national_yearly!$D:$AM, 22, FALSE) / VLOOKUP("LULUCF|SO2|Asthma symptoms cough", US_national_yearly!$D:$AM, 10, FALSE), 1)</f>
        <v>2.7157406362290533E-3</v>
      </c>
      <c r="O6" s="7">
        <f>$B6 * IFERROR(VLOOKUP("LULUCF|SO2|Asthma symptoms cough", US_national_yearly!$D:$AM, 23, FALSE) / VLOOKUP("LULUCF|SO2|Asthma symptoms cough", US_national_yearly!$D:$AM, 10, FALSE), 1)</f>
        <v>2.7157406362290533E-3</v>
      </c>
      <c r="P6" s="7">
        <f>$B6 * IFERROR(VLOOKUP("LULUCF|SO2|Asthma symptoms cough", US_national_yearly!$D:$AM, 24, FALSE) / VLOOKUP("LULUCF|SO2|Asthma symptoms cough", US_national_yearly!$D:$AM, 10, FALSE), 1)</f>
        <v>2.7157406362290533E-3</v>
      </c>
      <c r="Q6" s="7">
        <f>$B6 * IFERROR(VLOOKUP("LULUCF|SO2|Asthma symptoms cough", US_national_yearly!$D:$AM, 25, FALSE) / VLOOKUP("LULUCF|SO2|Asthma symptoms cough", US_national_yearly!$D:$AM, 10, FALSE), 1)</f>
        <v>2.7157406362290533E-3</v>
      </c>
      <c r="R6" s="7">
        <f>$B6 * IFERROR(VLOOKUP("LULUCF|SO2|Asthma symptoms cough", US_national_yearly!$D:$AM, 26, FALSE) / VLOOKUP("LULUCF|SO2|Asthma symptoms cough", US_national_yearly!$D:$AM, 10, FALSE), 1)</f>
        <v>2.7157406362290533E-3</v>
      </c>
      <c r="S6" s="7">
        <f>$B6 * IFERROR(VLOOKUP("LULUCF|SO2|Asthma symptoms cough", US_national_yearly!$D:$AM, 27, FALSE) / VLOOKUP("LULUCF|SO2|Asthma symptoms cough", US_national_yearly!$D:$AM, 10, FALSE), 1)</f>
        <v>2.7157406362290533E-3</v>
      </c>
      <c r="T6" s="7">
        <f>$B6 * IFERROR(VLOOKUP("LULUCF|SO2|Asthma symptoms cough", US_national_yearly!$D:$AM, 28, FALSE) / VLOOKUP("LULUCF|SO2|Asthma symptoms cough", US_national_yearly!$D:$AM, 10, FALSE), 1)</f>
        <v>2.7157406362290533E-3</v>
      </c>
      <c r="U6" s="7">
        <f>$B6 * IFERROR(VLOOKUP("LULUCF|SO2|Asthma symptoms cough", US_national_yearly!$D:$AM, 29, FALSE) / VLOOKUP("LULUCF|SO2|Asthma symptoms cough", US_national_yearly!$D:$AM, 10, FALSE), 1)</f>
        <v>2.7157406362290533E-3</v>
      </c>
      <c r="V6" s="7">
        <f>$B6 * IFERROR(VLOOKUP("LULUCF|SO2|Asthma symptoms cough", US_national_yearly!$D:$AM, 30, FALSE) / VLOOKUP("LULUCF|SO2|Asthma symptoms cough", US_national_yearly!$D:$AM, 10, FALSE), 1)</f>
        <v>2.7157406362290533E-3</v>
      </c>
      <c r="W6" s="7">
        <f>$B6 * IFERROR(VLOOKUP("LULUCF|SO2|Asthma symptoms cough", US_national_yearly!$D:$AM, 31, FALSE) / VLOOKUP("LULUCF|SO2|Asthma symptoms cough", US_national_yearly!$D:$AM, 10, FALSE), 1)</f>
        <v>2.7157406362290533E-3</v>
      </c>
      <c r="X6" s="7">
        <f>$B6 * IFERROR(VLOOKUP("LULUCF|SO2|Asthma symptoms cough", US_national_yearly!$D:$AM, 32, FALSE) / VLOOKUP("LULUCF|SO2|Asthma symptoms cough", US_national_yearly!$D:$AM, 10, FALSE), 1)</f>
        <v>2.7157406362290533E-3</v>
      </c>
      <c r="Y6" s="7">
        <f>$B6 * IFERROR(VLOOKUP("LULUCF|SO2|Asthma symptoms cough", US_national_yearly!$D:$AM, 33, FALSE) / VLOOKUP("LULUCF|SO2|Asthma symptoms cough", US_national_yearly!$D:$AM, 10, FALSE), 1)</f>
        <v>2.7157406362290533E-3</v>
      </c>
      <c r="Z6" s="7">
        <f>$B6 * IFERROR(VLOOKUP("LULUCF|SO2|Asthma symptoms cough", US_national_yearly!$D:$AM, 34, FALSE) / VLOOKUP("LULUCF|SO2|Asthma symptoms cough", US_national_yearly!$D:$AM, 10, FALSE), 1)</f>
        <v>2.7157406362290533E-3</v>
      </c>
      <c r="AA6" s="7">
        <f>$B6 * IFERROR(VLOOKUP("LULUCF|SO2|Asthma symptoms cough", US_national_yearly!$D:$AM, 35, FALSE) / VLOOKUP("LULUCF|SO2|Asthma symptoms cough", US_national_yearly!$D:$AM, 10, FALSE), 1)</f>
        <v>2.7157406362290533E-3</v>
      </c>
      <c r="AB6" s="7">
        <f>$B6 * IFERROR(VLOOKUP("LULUCF|SO2|Asthma symptoms cough", US_national_yearly!$D:$AM, 36, FALSE) / VLOOKUP("LULUCF|SO2|Asthma symptoms cough", US_national_yearly!$D:$AM, 10, FALSE), 1)</f>
        <v>2.7157406362290533E-3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3.6570884053084597E-3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3.6570884053084597E-3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3.6570884053084597E-3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3.6570884053084597E-3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3.6570884053084597E-3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3.6570884053084597E-3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3.6570884053084597E-3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3.6570884053084597E-3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3.6570884053084597E-3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3.6570884053084597E-3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3.6570884053084597E-3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3.6570884053084597E-3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3.6570884053084597E-3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3.6570884053084597E-3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3.6570884053084597E-3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3.6570884053084597E-3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3.6570884053084597E-3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3.6570884053084597E-3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3.6570884053084597E-3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3.6570884053084597E-3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3.6570884053084597E-3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3.6570884053084597E-3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3.6570884053084597E-3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3.6570884053084597E-3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3.6570884053084597E-3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3.6570884053084597E-3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3.6570884053084597E-3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5.5875911281462994E-3</v>
      </c>
      <c r="C8" s="7">
        <f>$B8 * IFERROR(VLOOKUP("LULUCF|SO2|Asthma symptoms wheeze", US_national_yearly!$D:$AM, 11, FALSE) / VLOOKUP("LULUCF|SO2|Asthma symptoms wheeze", US_national_yearly!$D:$AM, 10, FALSE), 1)</f>
        <v>5.5875911281462994E-3</v>
      </c>
      <c r="D8" s="7">
        <f>$B8 * IFERROR(VLOOKUP("LULUCF|SO2|Asthma symptoms wheeze", US_national_yearly!$D:$AM, 12, FALSE) / VLOOKUP("LULUCF|SO2|Asthma symptoms wheeze", US_national_yearly!$D:$AM, 10, FALSE), 1)</f>
        <v>5.5875911281462994E-3</v>
      </c>
      <c r="E8" s="7">
        <f>$B8 * IFERROR(VLOOKUP("LULUCF|SO2|Asthma symptoms wheeze", US_national_yearly!$D:$AM, 13, FALSE) / VLOOKUP("LULUCF|SO2|Asthma symptoms wheeze", US_national_yearly!$D:$AM, 10, FALSE), 1)</f>
        <v>5.5875911281462994E-3</v>
      </c>
      <c r="F8" s="7">
        <f>$B8 * IFERROR(VLOOKUP("LULUCF|SO2|Asthma symptoms wheeze", US_national_yearly!$D:$AM, 14, FALSE) / VLOOKUP("LULUCF|SO2|Asthma symptoms wheeze", US_national_yearly!$D:$AM, 10, FALSE), 1)</f>
        <v>5.5875911281462994E-3</v>
      </c>
      <c r="G8" s="7">
        <f>$B8 * IFERROR(VLOOKUP("LULUCF|SO2|Asthma symptoms wheeze", US_national_yearly!$D:$AM, 15, FALSE) / VLOOKUP("LULUCF|SO2|Asthma symptoms wheeze", US_national_yearly!$D:$AM, 10, FALSE), 1)</f>
        <v>5.5875911281462994E-3</v>
      </c>
      <c r="H8" s="7">
        <f>$B8 * IFERROR(VLOOKUP("LULUCF|SO2|Asthma symptoms wheeze", US_national_yearly!$D:$AM, 16, FALSE) / VLOOKUP("LULUCF|SO2|Asthma symptoms wheeze", US_national_yearly!$D:$AM, 10, FALSE), 1)</f>
        <v>5.5875911281462994E-3</v>
      </c>
      <c r="I8" s="7">
        <f>$B8 * IFERROR(VLOOKUP("LULUCF|SO2|Asthma symptoms wheeze", US_national_yearly!$D:$AM, 17, FALSE) / VLOOKUP("LULUCF|SO2|Asthma symptoms wheeze", US_national_yearly!$D:$AM, 10, FALSE), 1)</f>
        <v>5.5875911281462994E-3</v>
      </c>
      <c r="J8" s="7">
        <f>$B8 * IFERROR(VLOOKUP("LULUCF|SO2|Asthma symptoms wheeze", US_national_yearly!$D:$AM, 18, FALSE) / VLOOKUP("LULUCF|SO2|Asthma symptoms wheeze", US_national_yearly!$D:$AM, 10, FALSE), 1)</f>
        <v>5.5875911281462994E-3</v>
      </c>
      <c r="K8" s="7">
        <f>$B8 * IFERROR(VLOOKUP("LULUCF|SO2|Asthma symptoms wheeze", US_national_yearly!$D:$AM, 19, FALSE) / VLOOKUP("LULUCF|SO2|Asthma symptoms wheeze", US_national_yearly!$D:$AM, 10, FALSE), 1)</f>
        <v>5.5875911281462994E-3</v>
      </c>
      <c r="L8" s="7">
        <f>$B8 * IFERROR(VLOOKUP("LULUCF|SO2|Asthma symptoms wheeze", US_national_yearly!$D:$AM, 20, FALSE) / VLOOKUP("LULUCF|SO2|Asthma symptoms wheeze", US_national_yearly!$D:$AM, 10, FALSE), 1)</f>
        <v>5.5875911281462994E-3</v>
      </c>
      <c r="M8" s="7">
        <f>$B8 * IFERROR(VLOOKUP("LULUCF|SO2|Asthma symptoms wheeze", US_national_yearly!$D:$AM, 21, FALSE) / VLOOKUP("LULUCF|SO2|Asthma symptoms wheeze", US_national_yearly!$D:$AM, 10, FALSE), 1)</f>
        <v>5.5875911281462994E-3</v>
      </c>
      <c r="N8" s="7">
        <f>$B8 * IFERROR(VLOOKUP("LULUCF|SO2|Asthma symptoms wheeze", US_national_yearly!$D:$AM, 22, FALSE) / VLOOKUP("LULUCF|SO2|Asthma symptoms wheeze", US_national_yearly!$D:$AM, 10, FALSE), 1)</f>
        <v>5.5875911281462994E-3</v>
      </c>
      <c r="O8" s="7">
        <f>$B8 * IFERROR(VLOOKUP("LULUCF|SO2|Asthma symptoms wheeze", US_national_yearly!$D:$AM, 23, FALSE) / VLOOKUP("LULUCF|SO2|Asthma symptoms wheeze", US_national_yearly!$D:$AM, 10, FALSE), 1)</f>
        <v>5.5875911281462994E-3</v>
      </c>
      <c r="P8" s="7">
        <f>$B8 * IFERROR(VLOOKUP("LULUCF|SO2|Asthma symptoms wheeze", US_national_yearly!$D:$AM, 24, FALSE) / VLOOKUP("LULUCF|SO2|Asthma symptoms wheeze", US_national_yearly!$D:$AM, 10, FALSE), 1)</f>
        <v>5.5875911281462994E-3</v>
      </c>
      <c r="Q8" s="7">
        <f>$B8 * IFERROR(VLOOKUP("LULUCF|SO2|Asthma symptoms wheeze", US_national_yearly!$D:$AM, 25, FALSE) / VLOOKUP("LULUCF|SO2|Asthma symptoms wheeze", US_national_yearly!$D:$AM, 10, FALSE), 1)</f>
        <v>5.5875911281462994E-3</v>
      </c>
      <c r="R8" s="7">
        <f>$B8 * IFERROR(VLOOKUP("LULUCF|SO2|Asthma symptoms wheeze", US_national_yearly!$D:$AM, 26, FALSE) / VLOOKUP("LULUCF|SO2|Asthma symptoms wheeze", US_national_yearly!$D:$AM, 10, FALSE), 1)</f>
        <v>5.5875911281462994E-3</v>
      </c>
      <c r="S8" s="7">
        <f>$B8 * IFERROR(VLOOKUP("LULUCF|SO2|Asthma symptoms wheeze", US_national_yearly!$D:$AM, 27, FALSE) / VLOOKUP("LULUCF|SO2|Asthma symptoms wheeze", US_national_yearly!$D:$AM, 10, FALSE), 1)</f>
        <v>5.5875911281462994E-3</v>
      </c>
      <c r="T8" s="7">
        <f>$B8 * IFERROR(VLOOKUP("LULUCF|SO2|Asthma symptoms wheeze", US_national_yearly!$D:$AM, 28, FALSE) / VLOOKUP("LULUCF|SO2|Asthma symptoms wheeze", US_national_yearly!$D:$AM, 10, FALSE), 1)</f>
        <v>5.5875911281462994E-3</v>
      </c>
      <c r="U8" s="7">
        <f>$B8 * IFERROR(VLOOKUP("LULUCF|SO2|Asthma symptoms wheeze", US_national_yearly!$D:$AM, 29, FALSE) / VLOOKUP("LULUCF|SO2|Asthma symptoms wheeze", US_national_yearly!$D:$AM, 10, FALSE), 1)</f>
        <v>5.5875911281462994E-3</v>
      </c>
      <c r="V8" s="7">
        <f>$B8 * IFERROR(VLOOKUP("LULUCF|SO2|Asthma symptoms wheeze", US_national_yearly!$D:$AM, 30, FALSE) / VLOOKUP("LULUCF|SO2|Asthma symptoms wheeze", US_national_yearly!$D:$AM, 10, FALSE), 1)</f>
        <v>5.5875911281462994E-3</v>
      </c>
      <c r="W8" s="7">
        <f>$B8 * IFERROR(VLOOKUP("LULUCF|SO2|Asthma symptoms wheeze", US_national_yearly!$D:$AM, 31, FALSE) / VLOOKUP("LULUCF|SO2|Asthma symptoms wheeze", US_national_yearly!$D:$AM, 10, FALSE), 1)</f>
        <v>5.5875911281462994E-3</v>
      </c>
      <c r="X8" s="7">
        <f>$B8 * IFERROR(VLOOKUP("LULUCF|SO2|Asthma symptoms wheeze", US_national_yearly!$D:$AM, 32, FALSE) / VLOOKUP("LULUCF|SO2|Asthma symptoms wheeze", US_national_yearly!$D:$AM, 10, FALSE), 1)</f>
        <v>5.5875911281462994E-3</v>
      </c>
      <c r="Y8" s="7">
        <f>$B8 * IFERROR(VLOOKUP("LULUCF|SO2|Asthma symptoms wheeze", US_national_yearly!$D:$AM, 33, FALSE) / VLOOKUP("LULUCF|SO2|Asthma symptoms wheeze", US_national_yearly!$D:$AM, 10, FALSE), 1)</f>
        <v>5.5875911281462994E-3</v>
      </c>
      <c r="Z8" s="7">
        <f>$B8 * IFERROR(VLOOKUP("LULUCF|SO2|Asthma symptoms wheeze", US_national_yearly!$D:$AM, 34, FALSE) / VLOOKUP("LULUCF|SO2|Asthma symptoms wheeze", US_national_yearly!$D:$AM, 10, FALSE), 1)</f>
        <v>5.5875911281462994E-3</v>
      </c>
      <c r="AA8" s="7">
        <f>$B8 * IFERROR(VLOOKUP("LULUCF|SO2|Asthma symptoms wheeze", US_national_yearly!$D:$AM, 35, FALSE) / VLOOKUP("LULUCF|SO2|Asthma symptoms wheeze", US_national_yearly!$D:$AM, 10, FALSE), 1)</f>
        <v>5.5875911281462994E-3</v>
      </c>
      <c r="AB8" s="7">
        <f>$B8 * IFERROR(VLOOKUP("LULUCF|SO2|Asthma symptoms wheeze", US_national_yearly!$D:$AM, 36, FALSE) / VLOOKUP("LULUCF|SO2|Asthma symptoms wheeze", US_national_yearly!$D:$AM, 10, FALSE), 1)</f>
        <v>5.5875911281462994E-3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9.4389163274299497E-5</v>
      </c>
      <c r="C12" s="7">
        <f>$B12 * IFERROR(VLOOKUP("LULUCF|SO2|Respiratory hospital admissions", US_national_yearly!$D:$AM, 11, FALSE) / VLOOKUP("LULUCF|SO2|Respiratory hospital admissions", US_national_yearly!$D:$AM, 10, FALSE), 1)</f>
        <v>9.4945875249951298E-5</v>
      </c>
      <c r="D12" s="7">
        <f>$B12 * IFERROR(VLOOKUP("LULUCF|SO2|Respiratory hospital admissions", US_national_yearly!$D:$AM, 12, FALSE) / VLOOKUP("LULUCF|SO2|Respiratory hospital admissions", US_national_yearly!$D:$AM, 10, FALSE), 1)</f>
        <v>9.5502587225603099E-5</v>
      </c>
      <c r="E12" s="7">
        <f>$B12 * IFERROR(VLOOKUP("LULUCF|SO2|Respiratory hospital admissions", US_national_yearly!$D:$AM, 13, FALSE) / VLOOKUP("LULUCF|SO2|Respiratory hospital admissions", US_national_yearly!$D:$AM, 10, FALSE), 1)</f>
        <v>9.60592992012549E-5</v>
      </c>
      <c r="F12" s="7">
        <f>$B12 * IFERROR(VLOOKUP("LULUCF|SO2|Respiratory hospital admissions", US_national_yearly!$D:$AM, 14, FALSE) / VLOOKUP("LULUCF|SO2|Respiratory hospital admissions", US_national_yearly!$D:$AM, 10, FALSE), 1)</f>
        <v>9.6616011176906702E-5</v>
      </c>
      <c r="G12" s="7">
        <f>$B12 * IFERROR(VLOOKUP("LULUCF|SO2|Respiratory hospital admissions", US_national_yearly!$D:$AM, 15, FALSE) / VLOOKUP("LULUCF|SO2|Respiratory hospital admissions", US_national_yearly!$D:$AM, 10, FALSE), 1)</f>
        <v>9.7222921131529869E-5</v>
      </c>
      <c r="H12" s="7">
        <f>$B12 * IFERROR(VLOOKUP("LULUCF|SO2|Respiratory hospital admissions", US_national_yearly!$D:$AM, 16, FALSE) / VLOOKUP("LULUCF|SO2|Respiratory hospital admissions", US_national_yearly!$D:$AM, 10, FALSE), 1)</f>
        <v>9.7829831086153037E-5</v>
      </c>
      <c r="I12" s="7">
        <f>$B12 * IFERROR(VLOOKUP("LULUCF|SO2|Respiratory hospital admissions", US_national_yearly!$D:$AM, 17, FALSE) / VLOOKUP("LULUCF|SO2|Respiratory hospital admissions", US_national_yearly!$D:$AM, 10, FALSE), 1)</f>
        <v>9.8428316562617523E-5</v>
      </c>
      <c r="J12" s="7">
        <f>$B12 * IFERROR(VLOOKUP("LULUCF|SO2|Respiratory hospital admissions", US_national_yearly!$D:$AM, 18, FALSE) / VLOOKUP("LULUCF|SO2|Respiratory hospital admissions", US_national_yearly!$D:$AM, 10, FALSE), 1)</f>
        <v>9.9026802039082023E-5</v>
      </c>
      <c r="K12" s="7">
        <f>$B12 * IFERROR(VLOOKUP("LULUCF|SO2|Respiratory hospital admissions", US_national_yearly!$D:$AM, 19, FALSE) / VLOOKUP("LULUCF|SO2|Respiratory hospital admissions", US_national_yearly!$D:$AM, 10, FALSE), 1)</f>
        <v>9.9625287515546482E-5</v>
      </c>
      <c r="L12" s="7">
        <f>$B12 * IFERROR(VLOOKUP("LULUCF|SO2|Respiratory hospital admissions", US_national_yearly!$D:$AM, 20, FALSE) / VLOOKUP("LULUCF|SO2|Respiratory hospital admissions", US_national_yearly!$D:$AM, 10, FALSE), 1)</f>
        <v>1.0022377299201098E-4</v>
      </c>
      <c r="M12" s="7">
        <f>$B12 * IFERROR(VLOOKUP("LULUCF|SO2|Respiratory hospital admissions", US_national_yearly!$D:$AM, 21, FALSE) / VLOOKUP("LULUCF|SO2|Respiratory hospital admissions", US_national_yearly!$D:$AM, 10, FALSE), 1)</f>
        <v>1.0082225846847544E-4</v>
      </c>
      <c r="N12" s="7">
        <f>$B12 * IFERROR(VLOOKUP("LULUCF|SO2|Respiratory hospital admissions", US_national_yearly!$D:$AM, 22, FALSE) / VLOOKUP("LULUCF|SO2|Respiratory hospital admissions", US_national_yearly!$D:$AM, 10, FALSE), 1)</f>
        <v>1.0125913439188713E-4</v>
      </c>
      <c r="O12" s="7">
        <f>$B12 * IFERROR(VLOOKUP("LULUCF|SO2|Respiratory hospital admissions", US_national_yearly!$D:$AM, 23, FALSE) / VLOOKUP("LULUCF|SO2|Respiratory hospital admissions", US_national_yearly!$D:$AM, 10, FALSE), 1)</f>
        <v>1.0169601031529881E-4</v>
      </c>
      <c r="P12" s="7">
        <f>$B12 * IFERROR(VLOOKUP("LULUCF|SO2|Respiratory hospital admissions", US_national_yearly!$D:$AM, 24, FALSE) / VLOOKUP("LULUCF|SO2|Respiratory hospital admissions", US_national_yearly!$D:$AM, 10, FALSE), 1)</f>
        <v>1.0213288623871049E-4</v>
      </c>
      <c r="Q12" s="7">
        <f>$B12 * IFERROR(VLOOKUP("LULUCF|SO2|Respiratory hospital admissions", US_national_yearly!$D:$AM, 25, FALSE) / VLOOKUP("LULUCF|SO2|Respiratory hospital admissions", US_national_yearly!$D:$AM, 10, FALSE), 1)</f>
        <v>1.0256976216212218E-4</v>
      </c>
      <c r="R12" s="7">
        <f>$B12 * IFERROR(VLOOKUP("LULUCF|SO2|Respiratory hospital admissions", US_national_yearly!$D:$AM, 26, FALSE) / VLOOKUP("LULUCF|SO2|Respiratory hospital admissions", US_national_yearly!$D:$AM, 10, FALSE), 1)</f>
        <v>1.0300663808553386E-4</v>
      </c>
      <c r="S12" s="7">
        <f>$B12 * IFERROR(VLOOKUP("LULUCF|SO2|Respiratory hospital admissions", US_national_yearly!$D:$AM, 27, FALSE) / VLOOKUP("LULUCF|SO2|Respiratory hospital admissions", US_national_yearly!$D:$AM, 10, FALSE), 1)</f>
        <v>1.0342338438189502E-4</v>
      </c>
      <c r="T12" s="7">
        <f>$B12 * IFERROR(VLOOKUP("LULUCF|SO2|Respiratory hospital admissions", US_national_yearly!$D:$AM, 28, FALSE) / VLOOKUP("LULUCF|SO2|Respiratory hospital admissions", US_national_yearly!$D:$AM, 10, FALSE), 1)</f>
        <v>1.0384013067825616E-4</v>
      </c>
      <c r="U12" s="7">
        <f>$B12 * IFERROR(VLOOKUP("LULUCF|SO2|Respiratory hospital admissions", US_national_yearly!$D:$AM, 29, FALSE) / VLOOKUP("LULUCF|SO2|Respiratory hospital admissions", US_national_yearly!$D:$AM, 10, FALSE), 1)</f>
        <v>1.0425687697461733E-4</v>
      </c>
      <c r="V12" s="7">
        <f>$B12 * IFERROR(VLOOKUP("LULUCF|SO2|Respiratory hospital admissions", US_national_yearly!$D:$AM, 30, FALSE) / VLOOKUP("LULUCF|SO2|Respiratory hospital admissions", US_national_yearly!$D:$AM, 10, FALSE), 1)</f>
        <v>1.0467362327097849E-4</v>
      </c>
      <c r="W12" s="7">
        <f>$B12 * IFERROR(VLOOKUP("LULUCF|SO2|Respiratory hospital admissions", US_national_yearly!$D:$AM, 31, FALSE) / VLOOKUP("LULUCF|SO2|Respiratory hospital admissions", US_national_yearly!$D:$AM, 10, FALSE), 1)</f>
        <v>1.0509036956733965E-4</v>
      </c>
      <c r="X12" s="7">
        <f>$B12 * IFERROR(VLOOKUP("LULUCF|SO2|Respiratory hospital admissions", US_national_yearly!$D:$AM, 32, FALSE) / VLOOKUP("LULUCF|SO2|Respiratory hospital admissions", US_national_yearly!$D:$AM, 10, FALSE), 1)</f>
        <v>1.0548579338097571E-4</v>
      </c>
      <c r="Y12" s="7">
        <f>$B12 * IFERROR(VLOOKUP("LULUCF|SO2|Respiratory hospital admissions", US_national_yearly!$D:$AM, 33, FALSE) / VLOOKUP("LULUCF|SO2|Respiratory hospital admissions", US_national_yearly!$D:$AM, 10, FALSE), 1)</f>
        <v>1.0588121719461178E-4</v>
      </c>
      <c r="Z12" s="7">
        <f>$B12 * IFERROR(VLOOKUP("LULUCF|SO2|Respiratory hospital admissions", US_national_yearly!$D:$AM, 34, FALSE) / VLOOKUP("LULUCF|SO2|Respiratory hospital admissions", US_national_yearly!$D:$AM, 10, FALSE), 1)</f>
        <v>1.0627664100824785E-4</v>
      </c>
      <c r="AA12" s="7">
        <f>$B12 * IFERROR(VLOOKUP("LULUCF|SO2|Respiratory hospital admissions", US_national_yearly!$D:$AM, 35, FALSE) / VLOOKUP("LULUCF|SO2|Respiratory hospital admissions", US_national_yearly!$D:$AM, 10, FALSE), 1)</f>
        <v>1.0667206482188392E-4</v>
      </c>
      <c r="AB12" s="7">
        <f>$B12 * IFERROR(VLOOKUP("LULUCF|SO2|Respiratory hospital admissions", US_national_yearly!$D:$AM, 36, FALSE) / VLOOKUP("LULUCF|SO2|Respiratory hospital admissions", US_national_yearly!$D:$AM, 10, FALSE), 1)</f>
        <v>1.0706748863552001E-4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5.439783730399972E-4</v>
      </c>
      <c r="C13" s="7">
        <f>$B13 * IFERROR(VLOOKUP("LULUCF|SO2|Non-fatal heart attacks", US_national_yearly!$D:$AM, 11, FALSE) / VLOOKUP("LULUCF|SO2|Non-fatal heart attacks", US_national_yearly!$D:$AM, 10, FALSE), 1)</f>
        <v>5.5994760223466392E-4</v>
      </c>
      <c r="D13" s="7">
        <f>$B13 * IFERROR(VLOOKUP("LULUCF|SO2|Non-fatal heart attacks", US_national_yearly!$D:$AM, 12, FALSE) / VLOOKUP("LULUCF|SO2|Non-fatal heart attacks", US_national_yearly!$D:$AM, 10, FALSE), 1)</f>
        <v>5.7591683142933065E-4</v>
      </c>
      <c r="E13" s="7">
        <f>$B13 * IFERROR(VLOOKUP("LULUCF|SO2|Non-fatal heart attacks", US_national_yearly!$D:$AM, 13, FALSE) / VLOOKUP("LULUCF|SO2|Non-fatal heart attacks", US_national_yearly!$D:$AM, 10, FALSE), 1)</f>
        <v>5.9188606062399738E-4</v>
      </c>
      <c r="F13" s="7">
        <f>$B13 * IFERROR(VLOOKUP("LULUCF|SO2|Non-fatal heart attacks", US_national_yearly!$D:$AM, 14, FALSE) / VLOOKUP("LULUCF|SO2|Non-fatal heart attacks", US_national_yearly!$D:$AM, 10, FALSE), 1)</f>
        <v>6.07855289818664E-4</v>
      </c>
      <c r="G13" s="7">
        <f>$B13 * IFERROR(VLOOKUP("LULUCF|SO2|Non-fatal heart attacks", US_national_yearly!$D:$AM, 15, FALSE) / VLOOKUP("LULUCF|SO2|Non-fatal heart attacks", US_national_yearly!$D:$AM, 10, FALSE), 1)</f>
        <v>6.2291575418573105E-4</v>
      </c>
      <c r="H13" s="7">
        <f>$B13 * IFERROR(VLOOKUP("LULUCF|SO2|Non-fatal heart attacks", US_national_yearly!$D:$AM, 16, FALSE) / VLOOKUP("LULUCF|SO2|Non-fatal heart attacks", US_national_yearly!$D:$AM, 10, FALSE), 1)</f>
        <v>6.379762185527981E-4</v>
      </c>
      <c r="I13" s="7">
        <f>$B13 * IFERROR(VLOOKUP("LULUCF|SO2|Non-fatal heart attacks", US_national_yearly!$D:$AM, 17, FALSE) / VLOOKUP("LULUCF|SO2|Non-fatal heart attacks", US_national_yearly!$D:$AM, 10, FALSE), 1)</f>
        <v>6.5009517113106066E-4</v>
      </c>
      <c r="J13" s="7">
        <f>$B13 * IFERROR(VLOOKUP("LULUCF|SO2|Non-fatal heart attacks", US_national_yearly!$D:$AM, 18, FALSE) / VLOOKUP("LULUCF|SO2|Non-fatal heart attacks", US_national_yearly!$D:$AM, 10, FALSE), 1)</f>
        <v>6.6221412370932333E-4</v>
      </c>
      <c r="K13" s="7">
        <f>$B13 * IFERROR(VLOOKUP("LULUCF|SO2|Non-fatal heart attacks", US_national_yearly!$D:$AM, 19, FALSE) / VLOOKUP("LULUCF|SO2|Non-fatal heart attacks", US_national_yearly!$D:$AM, 10, FALSE), 1)</f>
        <v>6.7433307628758589E-4</v>
      </c>
      <c r="L13" s="7">
        <f>$B13 * IFERROR(VLOOKUP("LULUCF|SO2|Non-fatal heart attacks", US_national_yearly!$D:$AM, 20, FALSE) / VLOOKUP("LULUCF|SO2|Non-fatal heart attacks", US_national_yearly!$D:$AM, 10, FALSE), 1)</f>
        <v>6.8645202886584867E-4</v>
      </c>
      <c r="M13" s="7">
        <f>$B13 * IFERROR(VLOOKUP("LULUCF|SO2|Non-fatal heart attacks", US_national_yearly!$D:$AM, 21, FALSE) / VLOOKUP("LULUCF|SO2|Non-fatal heart attacks", US_national_yearly!$D:$AM, 10, FALSE), 1)</f>
        <v>6.9857098144411145E-4</v>
      </c>
      <c r="N13" s="7">
        <f>$B13 * IFERROR(VLOOKUP("LULUCF|SO2|Non-fatal heart attacks", US_national_yearly!$D:$AM, 22, FALSE) / VLOOKUP("LULUCF|SO2|Non-fatal heart attacks", US_national_yearly!$D:$AM, 10, FALSE), 1)</f>
        <v>7.0643996376955017E-4</v>
      </c>
      <c r="O13" s="7">
        <f>$B13 * IFERROR(VLOOKUP("LULUCF|SO2|Non-fatal heart attacks", US_national_yearly!$D:$AM, 23, FALSE) / VLOOKUP("LULUCF|SO2|Non-fatal heart attacks", US_national_yearly!$D:$AM, 10, FALSE), 1)</f>
        <v>7.1430894609498922E-4</v>
      </c>
      <c r="P13" s="7">
        <f>$B13 * IFERROR(VLOOKUP("LULUCF|SO2|Non-fatal heart attacks", US_national_yearly!$D:$AM, 24, FALSE) / VLOOKUP("LULUCF|SO2|Non-fatal heart attacks", US_national_yearly!$D:$AM, 10, FALSE), 1)</f>
        <v>7.2217792842042816E-4</v>
      </c>
      <c r="Q13" s="7">
        <f>$B13 * IFERROR(VLOOKUP("LULUCF|SO2|Non-fatal heart attacks", US_national_yearly!$D:$AM, 25, FALSE) / VLOOKUP("LULUCF|SO2|Non-fatal heart attacks", US_national_yearly!$D:$AM, 10, FALSE), 1)</f>
        <v>7.30046910745867E-4</v>
      </c>
      <c r="R13" s="7">
        <f>$B13 * IFERROR(VLOOKUP("LULUCF|SO2|Non-fatal heart attacks", US_national_yearly!$D:$AM, 26, FALSE) / VLOOKUP("LULUCF|SO2|Non-fatal heart attacks", US_national_yearly!$D:$AM, 10, FALSE), 1)</f>
        <v>7.3791589307130594E-4</v>
      </c>
      <c r="S13" s="7">
        <f>$B13 * IFERROR(VLOOKUP("LULUCF|SO2|Non-fatal heart attacks", US_national_yearly!$D:$AM, 27, FALSE) / VLOOKUP("LULUCF|SO2|Non-fatal heart attacks", US_national_yearly!$D:$AM, 10, FALSE), 1)</f>
        <v>7.4202424448205199E-4</v>
      </c>
      <c r="T13" s="7">
        <f>$B13 * IFERROR(VLOOKUP("LULUCF|SO2|Non-fatal heart attacks", US_national_yearly!$D:$AM, 28, FALSE) / VLOOKUP("LULUCF|SO2|Non-fatal heart attacks", US_national_yearly!$D:$AM, 10, FALSE), 1)</f>
        <v>7.4613259589279815E-4</v>
      </c>
      <c r="U13" s="7">
        <f>$B13 * IFERROR(VLOOKUP("LULUCF|SO2|Non-fatal heart attacks", US_national_yearly!$D:$AM, 29, FALSE) / VLOOKUP("LULUCF|SO2|Non-fatal heart attacks", US_national_yearly!$D:$AM, 10, FALSE), 1)</f>
        <v>7.5024094730354409E-4</v>
      </c>
      <c r="V13" s="7">
        <f>$B13 * IFERROR(VLOOKUP("LULUCF|SO2|Non-fatal heart attacks", US_national_yearly!$D:$AM, 30, FALSE) / VLOOKUP("LULUCF|SO2|Non-fatal heart attacks", US_national_yearly!$D:$AM, 10, FALSE), 1)</f>
        <v>7.5434929871429004E-4</v>
      </c>
      <c r="W13" s="7">
        <f>$B13 * IFERROR(VLOOKUP("LULUCF|SO2|Non-fatal heart attacks", US_national_yearly!$D:$AM, 31, FALSE) / VLOOKUP("LULUCF|SO2|Non-fatal heart attacks", US_national_yearly!$D:$AM, 10, FALSE), 1)</f>
        <v>7.584576501250363E-4</v>
      </c>
      <c r="X13" s="7">
        <f>$B13 * IFERROR(VLOOKUP("LULUCF|SO2|Non-fatal heart attacks", US_national_yearly!$D:$AM, 32, FALSE) / VLOOKUP("LULUCF|SO2|Non-fatal heart attacks", US_national_yearly!$D:$AM, 10, FALSE), 1)</f>
        <v>7.615590960668296E-4</v>
      </c>
      <c r="Y13" s="7">
        <f>$B13 * IFERROR(VLOOKUP("LULUCF|SO2|Non-fatal heart attacks", US_national_yearly!$D:$AM, 33, FALSE) / VLOOKUP("LULUCF|SO2|Non-fatal heart attacks", US_national_yearly!$D:$AM, 10, FALSE), 1)</f>
        <v>7.64660542008623E-4</v>
      </c>
      <c r="Z13" s="7">
        <f>$B13 * IFERROR(VLOOKUP("LULUCF|SO2|Non-fatal heart attacks", US_national_yearly!$D:$AM, 34, FALSE) / VLOOKUP("LULUCF|SO2|Non-fatal heart attacks", US_national_yearly!$D:$AM, 10, FALSE), 1)</f>
        <v>7.6776198795041641E-4</v>
      </c>
      <c r="AA13" s="7">
        <f>$B13 * IFERROR(VLOOKUP("LULUCF|SO2|Non-fatal heart attacks", US_national_yearly!$D:$AM, 35, FALSE) / VLOOKUP("LULUCF|SO2|Non-fatal heart attacks", US_national_yearly!$D:$AM, 10, FALSE), 1)</f>
        <v>7.708634338922097E-4</v>
      </c>
      <c r="AB13" s="7">
        <f>$B13 * IFERROR(VLOOKUP("LULUCF|SO2|Non-fatal heart attacks", US_national_yearly!$D:$AM, 36, FALSE) / VLOOKUP("LULUCF|SO2|Non-fatal heart attacks", US_national_yearly!$D:$AM, 10, FALSE), 1)</f>
        <v>7.739648798340031E-4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0.33320623821941625</v>
      </c>
      <c r="C14" s="7">
        <f>$B14 * IFERROR(VLOOKUP("LULUCF|SO2|Minor restricted activity days", US_national_yearly!$D:$AM, 11, FALSE) / VLOOKUP("LULUCF|SO2|Minor restricted activity days", US_national_yearly!$D:$AM, 10, FALSE), 1)</f>
        <v>0.33404614012420702</v>
      </c>
      <c r="D14" s="7">
        <f>$B14 * IFERROR(VLOOKUP("LULUCF|SO2|Minor restricted activity days", US_national_yearly!$D:$AM, 12, FALSE) / VLOOKUP("LULUCF|SO2|Minor restricted activity days", US_national_yearly!$D:$AM, 10, FALSE), 1)</f>
        <v>0.33488604202899774</v>
      </c>
      <c r="E14" s="7">
        <f>$B14 * IFERROR(VLOOKUP("LULUCF|SO2|Minor restricted activity days", US_national_yearly!$D:$AM, 13, FALSE) / VLOOKUP("LULUCF|SO2|Minor restricted activity days", US_national_yearly!$D:$AM, 10, FALSE), 1)</f>
        <v>0.33572594393378857</v>
      </c>
      <c r="F14" s="7">
        <f>$B14 * IFERROR(VLOOKUP("LULUCF|SO2|Minor restricted activity days", US_national_yearly!$D:$AM, 14, FALSE) / VLOOKUP("LULUCF|SO2|Minor restricted activity days", US_national_yearly!$D:$AM, 10, FALSE), 1)</f>
        <v>0.33656584583857929</v>
      </c>
      <c r="G14" s="7">
        <f>$B14 * IFERROR(VLOOKUP("LULUCF|SO2|Minor restricted activity days", US_national_yearly!$D:$AM, 15, FALSE) / VLOOKUP("LULUCF|SO2|Minor restricted activity days", US_national_yearly!$D:$AM, 10, FALSE), 1)</f>
        <v>0.33780209893000746</v>
      </c>
      <c r="H14" s="7">
        <f>$B14 * IFERROR(VLOOKUP("LULUCF|SO2|Minor restricted activity days", US_national_yearly!$D:$AM, 16, FALSE) / VLOOKUP("LULUCF|SO2|Minor restricted activity days", US_national_yearly!$D:$AM, 10, FALSE), 1)</f>
        <v>0.33903835202143556</v>
      </c>
      <c r="I14" s="7">
        <f>$B14 * IFERROR(VLOOKUP("LULUCF|SO2|Minor restricted activity days", US_national_yearly!$D:$AM, 17, FALSE) / VLOOKUP("LULUCF|SO2|Minor restricted activity days", US_national_yearly!$D:$AM, 10, FALSE), 1)</f>
        <v>0.34114666643657715</v>
      </c>
      <c r="J14" s="7">
        <f>$B14 * IFERROR(VLOOKUP("LULUCF|SO2|Minor restricted activity days", US_national_yearly!$D:$AM, 18, FALSE) / VLOOKUP("LULUCF|SO2|Minor restricted activity days", US_national_yearly!$D:$AM, 10, FALSE), 1)</f>
        <v>0.34325498085171868</v>
      </c>
      <c r="K14" s="7">
        <f>$B14 * IFERROR(VLOOKUP("LULUCF|SO2|Minor restricted activity days", US_national_yearly!$D:$AM, 19, FALSE) / VLOOKUP("LULUCF|SO2|Minor restricted activity days", US_national_yearly!$D:$AM, 10, FALSE), 1)</f>
        <v>0.34536329526686033</v>
      </c>
      <c r="L14" s="7">
        <f>$B14 * IFERROR(VLOOKUP("LULUCF|SO2|Minor restricted activity days", US_national_yearly!$D:$AM, 20, FALSE) / VLOOKUP("LULUCF|SO2|Minor restricted activity days", US_national_yearly!$D:$AM, 10, FALSE), 1)</f>
        <v>0.34747160968200186</v>
      </c>
      <c r="M14" s="7">
        <f>$B14 * IFERROR(VLOOKUP("LULUCF|SO2|Minor restricted activity days", US_national_yearly!$D:$AM, 21, FALSE) / VLOOKUP("LULUCF|SO2|Minor restricted activity days", US_national_yearly!$D:$AM, 10, FALSE), 1)</f>
        <v>0.34957992409714345</v>
      </c>
      <c r="N14" s="7">
        <f>$B14 * IFERROR(VLOOKUP("LULUCF|SO2|Minor restricted activity days", US_national_yearly!$D:$AM, 22, FALSE) / VLOOKUP("LULUCF|SO2|Minor restricted activity days", US_national_yearly!$D:$AM, 10, FALSE), 1)</f>
        <v>0.35246375991907991</v>
      </c>
      <c r="O14" s="7">
        <f>$B14 * IFERROR(VLOOKUP("LULUCF|SO2|Minor restricted activity days", US_national_yearly!$D:$AM, 23, FALSE) / VLOOKUP("LULUCF|SO2|Minor restricted activity days", US_national_yearly!$D:$AM, 10, FALSE), 1)</f>
        <v>0.35534759574101638</v>
      </c>
      <c r="P14" s="7">
        <f>$B14 * IFERROR(VLOOKUP("LULUCF|SO2|Minor restricted activity days", US_national_yearly!$D:$AM, 24, FALSE) / VLOOKUP("LULUCF|SO2|Minor restricted activity days", US_national_yearly!$D:$AM, 10, FALSE), 1)</f>
        <v>0.35823143156295284</v>
      </c>
      <c r="Q14" s="7">
        <f>$B14 * IFERROR(VLOOKUP("LULUCF|SO2|Minor restricted activity days", US_national_yearly!$D:$AM, 25, FALSE) / VLOOKUP("LULUCF|SO2|Minor restricted activity days", US_national_yearly!$D:$AM, 10, FALSE), 1)</f>
        <v>0.3611152673848893</v>
      </c>
      <c r="R14" s="7">
        <f>$B14 * IFERROR(VLOOKUP("LULUCF|SO2|Minor restricted activity days", US_national_yearly!$D:$AM, 26, FALSE) / VLOOKUP("LULUCF|SO2|Minor restricted activity days", US_national_yearly!$D:$AM, 10, FALSE), 1)</f>
        <v>0.36399910320682577</v>
      </c>
      <c r="S14" s="7">
        <f>$B14 * IFERROR(VLOOKUP("LULUCF|SO2|Minor restricted activity days", US_national_yearly!$D:$AM, 27, FALSE) / VLOOKUP("LULUCF|SO2|Minor restricted activity days", US_national_yearly!$D:$AM, 10, FALSE), 1)</f>
        <v>0.36693945607962059</v>
      </c>
      <c r="T14" s="7">
        <f>$B14 * IFERROR(VLOOKUP("LULUCF|SO2|Minor restricted activity days", US_national_yearly!$D:$AM, 28, FALSE) / VLOOKUP("LULUCF|SO2|Minor restricted activity days", US_national_yearly!$D:$AM, 10, FALSE), 1)</f>
        <v>0.36987980895241546</v>
      </c>
      <c r="U14" s="7">
        <f>$B14 * IFERROR(VLOOKUP("LULUCF|SO2|Minor restricted activity days", US_national_yearly!$D:$AM, 29, FALSE) / VLOOKUP("LULUCF|SO2|Minor restricted activity days", US_national_yearly!$D:$AM, 10, FALSE), 1)</f>
        <v>0.37282016182521027</v>
      </c>
      <c r="V14" s="7">
        <f>$B14 * IFERROR(VLOOKUP("LULUCF|SO2|Minor restricted activity days", US_national_yearly!$D:$AM, 30, FALSE) / VLOOKUP("LULUCF|SO2|Minor restricted activity days", US_national_yearly!$D:$AM, 10, FALSE), 1)</f>
        <v>0.37576051469800509</v>
      </c>
      <c r="W14" s="7">
        <f>$B14 * IFERROR(VLOOKUP("LULUCF|SO2|Minor restricted activity days", US_national_yearly!$D:$AM, 31, FALSE) / VLOOKUP("LULUCF|SO2|Minor restricted activity days", US_national_yearly!$D:$AM, 10, FALSE), 1)</f>
        <v>0.37870086757079996</v>
      </c>
      <c r="X14" s="7">
        <f>$B14 * IFERROR(VLOOKUP("LULUCF|SO2|Minor restricted activity days", US_national_yearly!$D:$AM, 32, FALSE) / VLOOKUP("LULUCF|SO2|Minor restricted activity days", US_national_yearly!$D:$AM, 10, FALSE), 1)</f>
        <v>0.38128667360918278</v>
      </c>
      <c r="Y14" s="7">
        <f>$B14 * IFERROR(VLOOKUP("LULUCF|SO2|Minor restricted activity days", US_national_yearly!$D:$AM, 33, FALSE) / VLOOKUP("LULUCF|SO2|Minor restricted activity days", US_national_yearly!$D:$AM, 10, FALSE), 1)</f>
        <v>0.38387247964756555</v>
      </c>
      <c r="Z14" s="7">
        <f>$B14 * IFERROR(VLOOKUP("LULUCF|SO2|Minor restricted activity days", US_national_yearly!$D:$AM, 34, FALSE) / VLOOKUP("LULUCF|SO2|Minor restricted activity days", US_national_yearly!$D:$AM, 10, FALSE), 1)</f>
        <v>0.38645828568594842</v>
      </c>
      <c r="AA14" s="7">
        <f>$B14 * IFERROR(VLOOKUP("LULUCF|SO2|Minor restricted activity days", US_national_yearly!$D:$AM, 35, FALSE) / VLOOKUP("LULUCF|SO2|Minor restricted activity days", US_national_yearly!$D:$AM, 10, FALSE), 1)</f>
        <v>0.38904409172433124</v>
      </c>
      <c r="AB14" s="7">
        <f>$B14 * IFERROR(VLOOKUP("LULUCF|SO2|Minor restricted activity days", US_national_yearly!$D:$AM, 36, FALSE) / VLOOKUP("LULUCF|SO2|Minor restricted activity days", US_national_yearly!$D:$AM, 10, FALSE), 1)</f>
        <v>0.39162989776271406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5.6153044781639391E-2</v>
      </c>
      <c r="C15" s="7">
        <f>$B15 * IFERROR(VLOOKUP("LULUCF|SO2|Work loss days", US_national_yearly!$D:$AM, 11, FALSE) / VLOOKUP("LULUCF|SO2|Work loss days", US_national_yearly!$D:$AM, 10, FALSE), 1)</f>
        <v>5.6334971721994871E-2</v>
      </c>
      <c r="D15" s="7">
        <f>$B15 * IFERROR(VLOOKUP("LULUCF|SO2|Work loss days", US_national_yearly!$D:$AM, 12, FALSE) / VLOOKUP("LULUCF|SO2|Work loss days", US_national_yearly!$D:$AM, 10, FALSE), 1)</f>
        <v>5.6516898662350344E-2</v>
      </c>
      <c r="E15" s="7">
        <f>$B15 * IFERROR(VLOOKUP("LULUCF|SO2|Work loss days", US_national_yearly!$D:$AM, 13, FALSE) / VLOOKUP("LULUCF|SO2|Work loss days", US_national_yearly!$D:$AM, 10, FALSE), 1)</f>
        <v>5.6698825602705824E-2</v>
      </c>
      <c r="F15" s="7">
        <f>$B15 * IFERROR(VLOOKUP("LULUCF|SO2|Work loss days", US_national_yearly!$D:$AM, 14, FALSE) / VLOOKUP("LULUCF|SO2|Work loss days", US_national_yearly!$D:$AM, 10, FALSE), 1)</f>
        <v>5.6880752543061304E-2</v>
      </c>
      <c r="G15" s="7">
        <f>$B15 * IFERROR(VLOOKUP("LULUCF|SO2|Work loss days", US_national_yearly!$D:$AM, 15, FALSE) / VLOOKUP("LULUCF|SO2|Work loss days", US_national_yearly!$D:$AM, 10, FALSE), 1)</f>
        <v>5.711846235081966E-2</v>
      </c>
      <c r="H15" s="7">
        <f>$B15 * IFERROR(VLOOKUP("LULUCF|SO2|Work loss days", US_national_yearly!$D:$AM, 16, FALSE) / VLOOKUP("LULUCF|SO2|Work loss days", US_national_yearly!$D:$AM, 10, FALSE), 1)</f>
        <v>5.7356172158578009E-2</v>
      </c>
      <c r="I15" s="7">
        <f>$B15 * IFERROR(VLOOKUP("LULUCF|SO2|Work loss days", US_national_yearly!$D:$AM, 17, FALSE) / VLOOKUP("LULUCF|SO2|Work loss days", US_national_yearly!$D:$AM, 10, FALSE), 1)</f>
        <v>5.770390969708894E-2</v>
      </c>
      <c r="J15" s="7">
        <f>$B15 * IFERROR(VLOOKUP("LULUCF|SO2|Work loss days", US_national_yearly!$D:$AM, 18, FALSE) / VLOOKUP("LULUCF|SO2|Work loss days", US_national_yearly!$D:$AM, 10, FALSE), 1)</f>
        <v>5.8051647235599857E-2</v>
      </c>
      <c r="K15" s="7">
        <f>$B15 * IFERROR(VLOOKUP("LULUCF|SO2|Work loss days", US_national_yearly!$D:$AM, 19, FALSE) / VLOOKUP("LULUCF|SO2|Work loss days", US_national_yearly!$D:$AM, 10, FALSE), 1)</f>
        <v>5.8399384774110788E-2</v>
      </c>
      <c r="L15" s="7">
        <f>$B15 * IFERROR(VLOOKUP("LULUCF|SO2|Work loss days", US_national_yearly!$D:$AM, 20, FALSE) / VLOOKUP("LULUCF|SO2|Work loss days", US_national_yearly!$D:$AM, 10, FALSE), 1)</f>
        <v>5.8747122312621712E-2</v>
      </c>
      <c r="M15" s="7">
        <f>$B15 * IFERROR(VLOOKUP("LULUCF|SO2|Work loss days", US_national_yearly!$D:$AM, 21, FALSE) / VLOOKUP("LULUCF|SO2|Work loss days", US_national_yearly!$D:$AM, 10, FALSE), 1)</f>
        <v>5.9094859851132643E-2</v>
      </c>
      <c r="N15" s="7">
        <f>$B15 * IFERROR(VLOOKUP("LULUCF|SO2|Work loss days", US_national_yearly!$D:$AM, 22, FALSE) / VLOOKUP("LULUCF|SO2|Work loss days", US_national_yearly!$D:$AM, 10, FALSE), 1)</f>
        <v>5.9530866373356188E-2</v>
      </c>
      <c r="O15" s="7">
        <f>$B15 * IFERROR(VLOOKUP("LULUCF|SO2|Work loss days", US_national_yearly!$D:$AM, 23, FALSE) / VLOOKUP("LULUCF|SO2|Work loss days", US_national_yearly!$D:$AM, 10, FALSE), 1)</f>
        <v>5.9966872895579733E-2</v>
      </c>
      <c r="P15" s="7">
        <f>$B15 * IFERROR(VLOOKUP("LULUCF|SO2|Work loss days", US_national_yearly!$D:$AM, 24, FALSE) / VLOOKUP("LULUCF|SO2|Work loss days", US_national_yearly!$D:$AM, 10, FALSE), 1)</f>
        <v>6.0402879417803264E-2</v>
      </c>
      <c r="Q15" s="7">
        <f>$B15 * IFERROR(VLOOKUP("LULUCF|SO2|Work loss days", US_national_yearly!$D:$AM, 25, FALSE) / VLOOKUP("LULUCF|SO2|Work loss days", US_national_yearly!$D:$AM, 10, FALSE), 1)</f>
        <v>6.0838885940026802E-2</v>
      </c>
      <c r="R15" s="7">
        <f>$B15 * IFERROR(VLOOKUP("LULUCF|SO2|Work loss days", US_national_yearly!$D:$AM, 26, FALSE) / VLOOKUP("LULUCF|SO2|Work loss days", US_national_yearly!$D:$AM, 10, FALSE), 1)</f>
        <v>6.1274892462250347E-2</v>
      </c>
      <c r="S15" s="7">
        <f>$B15 * IFERROR(VLOOKUP("LULUCF|SO2|Work loss days", US_national_yearly!$D:$AM, 27, FALSE) / VLOOKUP("LULUCF|SO2|Work loss days", US_national_yearly!$D:$AM, 10, FALSE), 1)</f>
        <v>6.1762128313340013E-2</v>
      </c>
      <c r="T15" s="7">
        <f>$B15 * IFERROR(VLOOKUP("LULUCF|SO2|Work loss days", US_national_yearly!$D:$AM, 28, FALSE) / VLOOKUP("LULUCF|SO2|Work loss days", US_national_yearly!$D:$AM, 10, FALSE), 1)</f>
        <v>6.2249364164429687E-2</v>
      </c>
      <c r="U15" s="7">
        <f>$B15 * IFERROR(VLOOKUP("LULUCF|SO2|Work loss days", US_national_yearly!$D:$AM, 29, FALSE) / VLOOKUP("LULUCF|SO2|Work loss days", US_national_yearly!$D:$AM, 10, FALSE), 1)</f>
        <v>6.2736600015519353E-2</v>
      </c>
      <c r="V15" s="7">
        <f>$B15 * IFERROR(VLOOKUP("LULUCF|SO2|Work loss days", US_national_yearly!$D:$AM, 30, FALSE) / VLOOKUP("LULUCF|SO2|Work loss days", US_national_yearly!$D:$AM, 10, FALSE), 1)</f>
        <v>6.3223835866609013E-2</v>
      </c>
      <c r="W15" s="7">
        <f>$B15 * IFERROR(VLOOKUP("LULUCF|SO2|Work loss days", US_national_yearly!$D:$AM, 31, FALSE) / VLOOKUP("LULUCF|SO2|Work loss days", US_national_yearly!$D:$AM, 10, FALSE), 1)</f>
        <v>6.3711071717698686E-2</v>
      </c>
      <c r="X15" s="7">
        <f>$B15 * IFERROR(VLOOKUP("LULUCF|SO2|Work loss days", US_national_yearly!$D:$AM, 32, FALSE) / VLOOKUP("LULUCF|SO2|Work loss days", US_national_yearly!$D:$AM, 10, FALSE), 1)</f>
        <v>6.4148542353036603E-2</v>
      </c>
      <c r="Y15" s="7">
        <f>$B15 * IFERROR(VLOOKUP("LULUCF|SO2|Work loss days", US_national_yearly!$D:$AM, 33, FALSE) / VLOOKUP("LULUCF|SO2|Work loss days", US_national_yearly!$D:$AM, 10, FALSE), 1)</f>
        <v>6.4586012988374533E-2</v>
      </c>
      <c r="Z15" s="7">
        <f>$B15 * IFERROR(VLOOKUP("LULUCF|SO2|Work loss days", US_national_yearly!$D:$AM, 34, FALSE) / VLOOKUP("LULUCF|SO2|Work loss days", US_national_yearly!$D:$AM, 10, FALSE), 1)</f>
        <v>6.5023483623712464E-2</v>
      </c>
      <c r="AA15" s="7">
        <f>$B15 * IFERROR(VLOOKUP("LULUCF|SO2|Work loss days", US_national_yearly!$D:$AM, 35, FALSE) / VLOOKUP("LULUCF|SO2|Work loss days", US_national_yearly!$D:$AM, 10, FALSE), 1)</f>
        <v>6.546095425905038E-2</v>
      </c>
      <c r="AB15" s="7">
        <f>$B15 * IFERROR(VLOOKUP("LULUCF|SO2|Work loss days", US_national_yearly!$D:$AM, 36, FALSE) / VLOOKUP("LULUCF|SO2|Work loss days", US_national_yearly!$D:$AM, 10, FALSE), 1)</f>
        <v>6.5898424894388311E-2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1.3661927641381378E-4</v>
      </c>
      <c r="C17" s="7">
        <f>$B17 * IFERROR(VLOOKUP("LULUCF|SO2|Cardiovascular hospital admissions", US_national_yearly!$D:$AM, 11, FALSE) / VLOOKUP("LULUCF|SO2|Cardiovascular hospital admissions", US_national_yearly!$D:$AM, 10, FALSE), 1)</f>
        <v>1.4075116650539898E-4</v>
      </c>
      <c r="D17" s="7">
        <f>$B17 * IFERROR(VLOOKUP("LULUCF|SO2|Cardiovascular hospital admissions", US_national_yearly!$D:$AM, 12, FALSE) / VLOOKUP("LULUCF|SO2|Cardiovascular hospital admissions", US_national_yearly!$D:$AM, 10, FALSE), 1)</f>
        <v>1.4488305659698418E-4</v>
      </c>
      <c r="E17" s="7">
        <f>$B17 * IFERROR(VLOOKUP("LULUCF|SO2|Cardiovascular hospital admissions", US_national_yearly!$D:$AM, 13, FALSE) / VLOOKUP("LULUCF|SO2|Cardiovascular hospital admissions", US_national_yearly!$D:$AM, 10, FALSE), 1)</f>
        <v>1.4901494668856941E-4</v>
      </c>
      <c r="F17" s="7">
        <f>$B17 * IFERROR(VLOOKUP("LULUCF|SO2|Cardiovascular hospital admissions", US_national_yearly!$D:$AM, 14, FALSE) / VLOOKUP("LULUCF|SO2|Cardiovascular hospital admissions", US_national_yearly!$D:$AM, 10, FALSE), 1)</f>
        <v>1.5314683678015463E-4</v>
      </c>
      <c r="G17" s="7">
        <f>$B17 * IFERROR(VLOOKUP("LULUCF|SO2|Cardiovascular hospital admissions", US_national_yearly!$D:$AM, 15, FALSE) / VLOOKUP("LULUCF|SO2|Cardiovascular hospital admissions", US_national_yearly!$D:$AM, 10, FALSE), 1)</f>
        <v>1.5710479460655493E-4</v>
      </c>
      <c r="H17" s="7">
        <f>$B17 * IFERROR(VLOOKUP("LULUCF|SO2|Cardiovascular hospital admissions", US_national_yearly!$D:$AM, 16, FALSE) / VLOOKUP("LULUCF|SO2|Cardiovascular hospital admissions", US_national_yearly!$D:$AM, 10, FALSE), 1)</f>
        <v>1.6106275243295528E-4</v>
      </c>
      <c r="I17" s="7">
        <f>$B17 * IFERROR(VLOOKUP("LULUCF|SO2|Cardiovascular hospital admissions", US_national_yearly!$D:$AM, 17, FALSE) / VLOOKUP("LULUCF|SO2|Cardiovascular hospital admissions", US_national_yearly!$D:$AM, 10, FALSE), 1)</f>
        <v>1.6445394990145316E-4</v>
      </c>
      <c r="J17" s="7">
        <f>$B17 * IFERROR(VLOOKUP("LULUCF|SO2|Cardiovascular hospital admissions", US_national_yearly!$D:$AM, 18, FALSE) / VLOOKUP("LULUCF|SO2|Cardiovascular hospital admissions", US_national_yearly!$D:$AM, 10, FALSE), 1)</f>
        <v>1.6784514736995103E-4</v>
      </c>
      <c r="K17" s="7">
        <f>$B17 * IFERROR(VLOOKUP("LULUCF|SO2|Cardiovascular hospital admissions", US_national_yearly!$D:$AM, 19, FALSE) / VLOOKUP("LULUCF|SO2|Cardiovascular hospital admissions", US_national_yearly!$D:$AM, 10, FALSE), 1)</f>
        <v>1.712363448384489E-4</v>
      </c>
      <c r="L17" s="7">
        <f>$B17 * IFERROR(VLOOKUP("LULUCF|SO2|Cardiovascular hospital admissions", US_national_yearly!$D:$AM, 20, FALSE) / VLOOKUP("LULUCF|SO2|Cardiovascular hospital admissions", US_national_yearly!$D:$AM, 10, FALSE), 1)</f>
        <v>1.7462754230694678E-4</v>
      </c>
      <c r="M17" s="7">
        <f>$B17 * IFERROR(VLOOKUP("LULUCF|SO2|Cardiovascular hospital admissions", US_national_yearly!$D:$AM, 21, FALSE) / VLOOKUP("LULUCF|SO2|Cardiovascular hospital admissions", US_national_yearly!$D:$AM, 10, FALSE), 1)</f>
        <v>1.780187397754446E-4</v>
      </c>
      <c r="N17" s="7">
        <f>$B17 * IFERROR(VLOOKUP("LULUCF|SO2|Cardiovascular hospital admissions", US_national_yearly!$D:$AM, 22, FALSE) / VLOOKUP("LULUCF|SO2|Cardiovascular hospital admissions", US_national_yearly!$D:$AM, 10, FALSE), 1)</f>
        <v>1.8029685199417861E-4</v>
      </c>
      <c r="O17" s="7">
        <f>$B17 * IFERROR(VLOOKUP("LULUCF|SO2|Cardiovascular hospital admissions", US_national_yearly!$D:$AM, 23, FALSE) / VLOOKUP("LULUCF|SO2|Cardiovascular hospital admissions", US_national_yearly!$D:$AM, 10, FALSE), 1)</f>
        <v>1.8257496421291257E-4</v>
      </c>
      <c r="P17" s="7">
        <f>$B17 * IFERROR(VLOOKUP("LULUCF|SO2|Cardiovascular hospital admissions", US_national_yearly!$D:$AM, 24, FALSE) / VLOOKUP("LULUCF|SO2|Cardiovascular hospital admissions", US_national_yearly!$D:$AM, 10, FALSE), 1)</f>
        <v>1.8485307643164653E-4</v>
      </c>
      <c r="Q17" s="7">
        <f>$B17 * IFERROR(VLOOKUP("LULUCF|SO2|Cardiovascular hospital admissions", US_national_yearly!$D:$AM, 25, FALSE) / VLOOKUP("LULUCF|SO2|Cardiovascular hospital admissions", US_national_yearly!$D:$AM, 10, FALSE), 1)</f>
        <v>1.8713118865038052E-4</v>
      </c>
      <c r="R17" s="7">
        <f>$B17 * IFERROR(VLOOKUP("LULUCF|SO2|Cardiovascular hospital admissions", US_national_yearly!$D:$AM, 26, FALSE) / VLOOKUP("LULUCF|SO2|Cardiovascular hospital admissions", US_national_yearly!$D:$AM, 10, FALSE), 1)</f>
        <v>1.8940930086911451E-4</v>
      </c>
      <c r="S17" s="7">
        <f>$B17 * IFERROR(VLOOKUP("LULUCF|SO2|Cardiovascular hospital admissions", US_national_yearly!$D:$AM, 27, FALSE) / VLOOKUP("LULUCF|SO2|Cardiovascular hospital admissions", US_national_yearly!$D:$AM, 10, FALSE), 1)</f>
        <v>1.9060742569442711E-4</v>
      </c>
      <c r="T17" s="7">
        <f>$B17 * IFERROR(VLOOKUP("LULUCF|SO2|Cardiovascular hospital admissions", US_national_yearly!$D:$AM, 28, FALSE) / VLOOKUP("LULUCF|SO2|Cardiovascular hospital admissions", US_national_yearly!$D:$AM, 10, FALSE), 1)</f>
        <v>1.9180555051973971E-4</v>
      </c>
      <c r="U17" s="7">
        <f>$B17 * IFERROR(VLOOKUP("LULUCF|SO2|Cardiovascular hospital admissions", US_national_yearly!$D:$AM, 29, FALSE) / VLOOKUP("LULUCF|SO2|Cardiovascular hospital admissions", US_national_yearly!$D:$AM, 10, FALSE), 1)</f>
        <v>1.9300367534505231E-4</v>
      </c>
      <c r="V17" s="7">
        <f>$B17 * IFERROR(VLOOKUP("LULUCF|SO2|Cardiovascular hospital admissions", US_national_yearly!$D:$AM, 30, FALSE) / VLOOKUP("LULUCF|SO2|Cardiovascular hospital admissions", US_national_yearly!$D:$AM, 10, FALSE), 1)</f>
        <v>1.9420180017036491E-4</v>
      </c>
      <c r="W17" s="7">
        <f>$B17 * IFERROR(VLOOKUP("LULUCF|SO2|Cardiovascular hospital admissions", US_national_yearly!$D:$AM, 31, FALSE) / VLOOKUP("LULUCF|SO2|Cardiovascular hospital admissions", US_national_yearly!$D:$AM, 10, FALSE), 1)</f>
        <v>1.9539992499567751E-4</v>
      </c>
      <c r="X17" s="7">
        <f>$B17 * IFERROR(VLOOKUP("LULUCF|SO2|Cardiovascular hospital admissions", US_national_yearly!$D:$AM, 32, FALSE) / VLOOKUP("LULUCF|SO2|Cardiovascular hospital admissions", US_national_yearly!$D:$AM, 10, FALSE), 1)</f>
        <v>1.9620426579789057E-4</v>
      </c>
      <c r="Y17" s="7">
        <f>$B17 * IFERROR(VLOOKUP("LULUCF|SO2|Cardiovascular hospital admissions", US_national_yearly!$D:$AM, 33, FALSE) / VLOOKUP("LULUCF|SO2|Cardiovascular hospital admissions", US_national_yearly!$D:$AM, 10, FALSE), 1)</f>
        <v>1.9700860660010362E-4</v>
      </c>
      <c r="Z17" s="7">
        <f>$B17 * IFERROR(VLOOKUP("LULUCF|SO2|Cardiovascular hospital admissions", US_national_yearly!$D:$AM, 34, FALSE) / VLOOKUP("LULUCF|SO2|Cardiovascular hospital admissions", US_national_yearly!$D:$AM, 10, FALSE), 1)</f>
        <v>1.9781294740231668E-4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1.9861728820452977E-4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1.994216290067428E-4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2026-06-15T17:16:45Z</dcterms:modified>
</cp:coreProperties>
</file>