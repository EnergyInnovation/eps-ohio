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OH\add-outputs\NoH\"/>
    </mc:Choice>
  </mc:AlternateContent>
  <xr:revisionPtr revIDLastSave="0" documentId="8_{DA036D59-DC88-4E03-AE41-F46599D38A4F}"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F2" i="3"/>
  <c r="AB2" i="3"/>
  <c r="AD2" i="3"/>
  <c r="I2" i="3"/>
  <c r="U2" i="3"/>
  <c r="W2" i="3"/>
  <c r="D2" i="3"/>
  <c r="Z2" i="3"/>
  <c r="AE2" i="3"/>
  <c r="B2" i="3"/>
  <c r="T2" i="3"/>
  <c r="V2" i="3"/>
  <c r="X2" i="3"/>
  <c r="E2" i="3"/>
  <c r="AA2" i="3"/>
  <c r="J2" i="3"/>
  <c r="G2" i="3"/>
  <c r="AC2" i="3"/>
  <c r="H2" i="3"/>
  <c r="K2" i="3"/>
  <c r="L2" i="3"/>
  <c r="P2" i="3"/>
  <c r="R2" i="3"/>
  <c r="M2" i="3"/>
  <c r="N2" i="3"/>
  <c r="Q2" i="3"/>
  <c r="S2" i="3"/>
  <c r="O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<sst xmlns="http://schemas.openxmlformats.org/spreadsheetml/2006/main" count="1069" uniqueCount="448">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</sst>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394</v>
      </c>
      <c r="C1" s="68">
        <v>46185</v>
      </c>
      <c r="H1" t="s">
        <v>324</v>
      </c>
      <c r="I1" t="s">
        <v>325</v>
      </c>
    </row>
    <row r="2" spans="1:9" x14ac:dyDescent="0.25">
      <c r="B2" t="str">
        <f>VLOOKUP(B1,H2:I52,2)</f>
        <v>OH</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4620076.2376607275</v>
      </c>
      <c r="C2">
        <f>SUMIFS('state calcs'!C62:C112,'state calcs'!$A$62:$A$112,About!$B$2)</f>
        <v>4674826.9927167324</v>
      </c>
      <c r="D2">
        <f>SUMIFS('state calcs'!D62:D112,'state calcs'!$A$62:$A$112,About!$B$2)</f>
        <v>4701696.5111775128</v>
      </c>
      <c r="E2">
        <f>SUMIFS('state calcs'!E62:E112,'state calcs'!$A$62:$A$112,About!$B$2)</f>
        <v>4728504.9476488801</v>
      </c>
      <c r="F2">
        <f>SUMIFS('state calcs'!F62:F112,'state calcs'!$A$62:$A$112,About!$B$2)</f>
        <v>4756159.9241442671</v>
      </c>
      <c r="G2">
        <f>SUMIFS('state calcs'!G62:G112,'state calcs'!$A$62:$A$112,About!$B$2)</f>
        <v>4783549.2446750058</v>
      </c>
      <c r="H2">
        <f>SUMIFS('state calcs'!H62:H112,'state calcs'!$A$62:$A$112,About!$B$2)</f>
        <v>4811017.1623070333</v>
      </c>
      <c r="I2">
        <f>SUMIFS('state calcs'!I62:I112,'state calcs'!$A$62:$A$112,About!$B$2)</f>
        <v>4838651.8912596675</v>
      </c>
      <c r="J2">
        <f>SUMIFS('state calcs'!J62:J112,'state calcs'!$A$62:$A$112,About!$B$2)</f>
        <v>4865809.7859705826</v>
      </c>
      <c r="K2">
        <f>SUMIFS('state calcs'!K62:K112,'state calcs'!$A$62:$A$112,About!$B$2)</f>
        <v>4891718.6170509886</v>
      </c>
      <c r="L2">
        <f>SUMIFS('state calcs'!L62:L112,'state calcs'!$A$62:$A$112,About!$B$2)</f>
        <v>4908304.8178861765</v>
      </c>
      <c r="M2">
        <f>SUMIFS('state calcs'!M62:M112,'state calcs'!$A$62:$A$112,About!$B$2)</f>
        <v>4924331.0948788682</v>
      </c>
      <c r="N2">
        <f>SUMIFS('state calcs'!N62:N112,'state calcs'!$A$62:$A$112,About!$B$2)</f>
        <v>4939219.7898939056</v>
      </c>
      <c r="O2">
        <f>SUMIFS('state calcs'!O62:O112,'state calcs'!$A$62:$A$112,About!$B$2)</f>
        <v>4952627.4775585709</v>
      </c>
      <c r="P2">
        <f>SUMIFS('state calcs'!P62:P112,'state calcs'!$A$62:$A$112,About!$B$2)</f>
        <v>4965286.8428743174</v>
      </c>
      <c r="Q2">
        <f>SUMIFS('state calcs'!Q62:Q112,'state calcs'!$A$62:$A$112,About!$B$2)</f>
        <v>4977782.3231801288</v>
      </c>
      <c r="R2">
        <f>SUMIFS('state calcs'!R62:R112,'state calcs'!$A$62:$A$112,About!$B$2)</f>
        <v>4989821.3527724156</v>
      </c>
      <c r="S2">
        <f>SUMIFS('state calcs'!S62:S112,'state calcs'!$A$62:$A$112,About!$B$2)</f>
        <v>5001492.4675051952</v>
      </c>
      <c r="T2">
        <f>SUMIFS('state calcs'!T62:T112,'state calcs'!$A$62:$A$112,About!$B$2)</f>
        <v>5012686.6686193626</v>
      </c>
      <c r="U2">
        <f>SUMIFS('state calcs'!U62:U112,'state calcs'!$A$62:$A$112,About!$B$2)</f>
        <v>5024089.7139380779</v>
      </c>
      <c r="V2">
        <f>SUMIFS('state calcs'!V62:V112,'state calcs'!$A$62:$A$112,About!$B$2)</f>
        <v>5033985.3119920492</v>
      </c>
      <c r="W2">
        <f>SUMIFS('state calcs'!W62:W112,'state calcs'!$A$62:$A$112,About!$B$2)</f>
        <v>5043075.0740790339</v>
      </c>
      <c r="X2">
        <f>SUMIFS('state calcs'!X62:X112,'state calcs'!$A$62:$A$112,About!$B$2)</f>
        <v>5051640.296579971</v>
      </c>
      <c r="Y2">
        <f>SUMIFS('state calcs'!Y62:Y112,'state calcs'!$A$62:$A$112,About!$B$2)</f>
        <v>5059713.2111954708</v>
      </c>
      <c r="Z2">
        <f>SUMIFS('state calcs'!Z62:Z112,'state calcs'!$A$62:$A$112,About!$B$2)</f>
        <v>5067335.7265853165</v>
      </c>
      <c r="AA2">
        <f>SUMIFS('state calcs'!AA62:AA112,'state calcs'!$A$62:$A$112,About!$B$2)</f>
        <v>5074386.471275067</v>
      </c>
      <c r="AB2">
        <f>SUMIFS('state calcs'!AB62:AB112,'state calcs'!$A$62:$A$112,About!$B$2)</f>
        <v>5081085.6949974699</v>
      </c>
      <c r="AC2">
        <f>SUMIFS('state calcs'!AC62:AC112,'state calcs'!$A$62:$A$112,About!$B$2)</f>
        <v>5087200.2477892321</v>
      </c>
      <c r="AD2">
        <f>SUMIFS('state calcs'!AD62:AD112,'state calcs'!$A$62:$A$112,About!$B$2)</f>
        <v>5092702.8042893894</v>
      </c>
      <c r="AE2">
        <f>SUMIFS('state calcs'!AE62:AE112,'state calcs'!$A$62:$A$112,About!$B$2)</f>
        <v>5097701.0260726372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2026-06-12T19:29:37Z</dcterms:modified>
</cp:coreProperties>
</file>